
<file path=[Content_Types].xml><?xml version="1.0" encoding="utf-8"?>
<Types xmlns="http://schemas.openxmlformats.org/package/2006/content-types">
  <Default ContentType="application/vnd.openxmlformats-officedocument.obfuscatedFont" Extension="odttf"/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no"?><Relationships xmlns="http://schemas.openxmlformats.org/package/2006/relationships"><Relationship Id="rId1" Target="docProps/core.xml" Type="http://schemas.openxmlformats.org/package/2006/relationships/metadata/core-properties"/><Relationship Id="rId2" Target="docProps/custom.xml" Type="http://schemas.openxmlformats.org/officeDocument/2006/relationships/custom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tyczen" sheetId="1" r:id="rId4"/>
    <sheet state="visible" name="luty" sheetId="2" r:id="rId5"/>
    <sheet state="visible" name="marzec" sheetId="3" r:id="rId6"/>
    <sheet state="visible" name="kwiecień" sheetId="4" r:id="rId7"/>
    <sheet state="visible" name="maj" sheetId="5" r:id="rId8"/>
    <sheet state="visible" name="czerwiec" sheetId="6" r:id="rId9"/>
    <sheet state="visible" name="lipiec" sheetId="7" r:id="rId10"/>
    <sheet state="visible" name="sierpień" sheetId="8" r:id="rId11"/>
    <sheet state="visible" name="wrzesień" sheetId="9" r:id="rId12"/>
    <sheet state="visible" name="październik" sheetId="10" r:id="rId13"/>
    <sheet state="visible" name="listopad" sheetId="11" r:id="rId14"/>
    <sheet state="visible" name="grudzień" sheetId="12" r:id="rId15"/>
    <sheet state="visible" name="Arkusz2" sheetId="13" r:id="rId16"/>
  </sheets>
  <calcPr/>
  <extLst>
    <ext uri="GoogleSheetsCustomDataVersion2">
      <go:sheetsCustomData xmlns:go="http://customooxmlschemas.google.com/" r:id="rId17" roundtripDataChecksum="kWxJf0RxzMUSqyfLmmN0joeyxY40XwtTurIHzp+14WU="/>
    </ext>
  </extLst>
</workbook>
</file>

<file path=xl/sharedStrings.xml><?xml version="1.0" encoding="utf-8"?>
<sst xmlns="http://schemas.openxmlformats.org/spreadsheetml/2006/main" count="2184" uniqueCount="114">
  <si>
    <t>pieczęć urzędu / wydziału</t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</si>
  <si>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</si>
  <si>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t>załącznik nr 2</t>
  </si>
  <si>
    <t>ELASTYCZNY CZAS PRACY</t>
  </si>
  <si>
    <t>OZNACZENIE DNIA</t>
  </si>
  <si>
    <t>FAKTYCZNY CZAS PRACY</t>
  </si>
  <si>
    <t>CZAS PRZEPRACOWANY W GODZINACH - ODPOWIEDNIO</t>
  </si>
  <si>
    <t>CZAS NIEOBECNOŚCI W PRACY W **) …………. według potrzeb</t>
  </si>
  <si>
    <t xml:space="preserve">DODATKOWE  UWAGI                                                     </t>
  </si>
  <si>
    <t>dzień miesiąca</t>
  </si>
  <si>
    <t>dzień tygodnia</t>
  </si>
  <si>
    <t>*)</t>
  </si>
  <si>
    <t>od</t>
  </si>
  <si>
    <t xml:space="preserve">do </t>
  </si>
  <si>
    <t>godzin</t>
  </si>
  <si>
    <t>w niedziele                         i święta</t>
  </si>
  <si>
    <t>w dodatk. dni wolne</t>
  </si>
  <si>
    <t>w porze nocnej</t>
  </si>
  <si>
    <t>w godz. nadliczbowych</t>
  </si>
  <si>
    <t>na dyżurze</t>
  </si>
  <si>
    <t>Uw</t>
  </si>
  <si>
    <t>Um</t>
  </si>
  <si>
    <t>Uo</t>
  </si>
  <si>
    <t>Ub</t>
  </si>
  <si>
    <t>Ch</t>
  </si>
  <si>
    <t>Op</t>
  </si>
  <si>
    <t>NU</t>
  </si>
  <si>
    <t>Del</t>
  </si>
  <si>
    <t>NN</t>
  </si>
  <si>
    <t>2/5 etatu</t>
  </si>
  <si>
    <t>RAZEM</t>
  </si>
  <si>
    <t xml:space="preserve">*) bliższe oznaczenie dnia, np. święta;**) w dniach lub godzinach; ***) przy pracach wzbronionych w przygotowaniu zawodu;                                                                                                                                                                                                                                                                                                                                                                                                                                 Uw - urlop wypoczynkowy, Uo - urlop okolicznościowy i inne zwolnienia przysługujace pracownikowi, Ub - urlop bezpłatny, Ch - choroba pracownika, Op - opieka nad chorym członkiem rodziny, NU - inna nieobecność usprawiedliwiona; Del - delegacja służbowa, NN - nieobecność nie usprawiedliwiona  </t>
  </si>
  <si>
    <t>Elastyczny  czas pracy za okres rozliczeniowy ………………….. + ……………… godzin</t>
  </si>
  <si>
    <t>…. =</t>
  </si>
  <si>
    <t>………………..</t>
  </si>
  <si>
    <t>Faktyczny czas pracy pracownika</t>
  </si>
  <si>
    <t>Czas zaliczany do czasu pracy pracownika (urlopy, del. itp..)</t>
  </si>
  <si>
    <t>Razem</t>
  </si>
  <si>
    <t>należy wypełnić po zakńczeniu danego okresu rozliczeniowego</t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</si>
  <si>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</si>
  <si>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t>Elastyczny czas pracy za okres rozliczeniowy ………………….. + ……………… godzin</t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</si>
  <si>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</si>
  <si>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t>NORMATYWNY CZAS PRACY</t>
  </si>
  <si>
    <t>7/10 etatu</t>
  </si>
  <si>
    <t>Normatywny czas pracy za okres rozliczeniowy ………………….. + ……………… godzin</t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</si>
  <si>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</si>
  <si>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</si>
  <si>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</si>
  <si>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</si>
  <si>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</si>
  <si>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</si>
  <si>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</si>
  <si>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</si>
  <si>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r>
      <rPr>
        <rFont val="Arial CE"/>
        <b/>
        <color theme="1"/>
        <sz val="18.0"/>
      </rPr>
      <t xml:space="preserve">KARTA EWIDENCJI CZASU PRACY                                                                                                                                               </t>
    </r>
    <r>
      <rPr>
        <rFont val="Arial CE"/>
        <b/>
        <color theme="1"/>
        <sz val="14.0"/>
      </rPr>
      <t>(MIESIĘCZNA)</t>
    </r>
  </si>
  <si>
    <t>Jan Kowalski - styczeń 2026</t>
  </si>
  <si>
    <t>etat 1/1</t>
  </si>
  <si>
    <t>1.</t>
  </si>
  <si>
    <t>czw.</t>
  </si>
  <si>
    <t>ŚW</t>
  </si>
  <si>
    <t>2.</t>
  </si>
  <si>
    <t>pt.</t>
  </si>
  <si>
    <t>UW</t>
  </si>
  <si>
    <t>3.</t>
  </si>
  <si>
    <t>sob.</t>
  </si>
  <si>
    <t>W5</t>
  </si>
  <si>
    <t>4.</t>
  </si>
  <si>
    <t>niedz.</t>
  </si>
  <si>
    <t>WN</t>
  </si>
  <si>
    <t>5.</t>
  </si>
  <si>
    <t>pon.</t>
  </si>
  <si>
    <t>6.</t>
  </si>
  <si>
    <t>wt.</t>
  </si>
  <si>
    <t>7.</t>
  </si>
  <si>
    <t>śr.</t>
  </si>
  <si>
    <t>8.</t>
  </si>
  <si>
    <t>9.</t>
  </si>
  <si>
    <t>10.</t>
  </si>
  <si>
    <t>11.</t>
  </si>
  <si>
    <t>12.</t>
  </si>
  <si>
    <t>13.</t>
  </si>
  <si>
    <t>R</t>
  </si>
  <si>
    <t>08:00</t>
  </si>
  <si>
    <t>16:00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</si>
  <si>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</si>
  <si>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</si>
  <si>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</si>
  <si>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</si>
  <si>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</si>
  <si>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</si>
  <si>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</si>
  <si>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</si>
  <si>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</si>
  <si>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</si>
  <si>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</si>
  <si>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</si>
  <si>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</si>
  <si>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</si>
  <si>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</si>
  <si>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</si>
  <si>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</si>
  <si>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</si>
  <si>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BILANS URLOPU: Przysługuje: 176h | Wykorzystano w tym m-cu: 48h | Wykorzystano łącznie: 48h | POZOSTAŁO: 128h || SALDO NADGODZIN: 0 min</t>
  </si>
  <si>
    <t>Jan Kowalski - luty 2026</t>
  </si>
  <si>
    <t>BILANS URLOPU: Przysługuje: 176h | Wykorzystano w tym m-cu: 0h | Wykorzystano łącznie: 48h | POZOSTAŁO: 128h || SALDO NADGODZIN: 0 min</t>
  </si>
  <si>
    <t>Jan Kowalski - marzec 2026</t>
  </si>
  <si>
    <t>Jan Kowalski - kwiecień 2026</t>
  </si>
  <si>
    <t>Jan Kowalski - maj 2026</t>
  </si>
  <si>
    <t>Jan Kowalski - czerwiec 2026</t>
  </si>
  <si>
    <t>Jan Kowalski - lipiec 2026</t>
  </si>
  <si>
    <t>Jan Kowalski - sierpień 2026</t>
  </si>
  <si>
    <t>Jan Kowalski - wrzesień 2026</t>
  </si>
  <si>
    <t>Jan Kowalski - październik 2026</t>
  </si>
  <si>
    <t>Jan Kowalski - listopad 2026</t>
  </si>
  <si>
    <t>Jan Kowalski - grudzień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</si>
</sst>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h]:mm"/>
    <numFmt numFmtId="165" formatCode="HH:mm"/>
  </numFmts>
  <fonts count="30">
    <font>
      <sz val="10.0"/>
      <color rgb="FF000000"/>
      <name val="Calibri"/>
      <scheme val="minor"/>
    </font>
    <font>
      <b/>
      <sz val="6.0"/>
      <color theme="1"/>
      <name val="Arial"/>
    </font>
    <font/>
    <font>
      <b/>
      <sz val="9.0"/>
      <color theme="1"/>
      <name val="Arial"/>
    </font>
    <font>
      <b/>
      <sz val="18.0"/>
      <color theme="1"/>
      <name val="Arial"/>
    </font>
    <font>
      <sz val="8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8.0"/>
      <color theme="1"/>
      <name val="Arial"/>
    </font>
    <font>
      <b/>
      <sz val="7.0"/>
      <color theme="1"/>
      <name val="Arial"/>
    </font>
    <font>
      <sz val="7.0"/>
      <color theme="1"/>
      <name val="Arial"/>
    </font>
    <font>
      <sz val="6.0"/>
      <color theme="1"/>
      <name val="Arial Black"/>
    </font>
    <font>
      <color theme="1"/>
      <name val="Calibri"/>
      <scheme val="minor"/>
    </font>
    <font>
      <name val="Arial"/>
      <sz val="10.0"/>
    </font>
    <font>
      <name val="Arial"/>
      <sz val="7.0"/>
      <b val="true"/>
    </font>
    <font>
      <name val="Arial"/>
      <sz val="8.0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</borders>
  <cellStyleXfs count="1">
    <xf borderId="0" fillId="0" fontId="0" numFmtId="0" applyAlignment="1" applyFont="1"/>
  </cellStyleXfs>
  <cellXfs count="16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2" fillId="0" fontId="3" numFmtId="0" xfId="0" applyAlignment="1" applyBorder="1" applyFont="1">
      <alignment horizontal="center" shrinkToFit="0" wrapText="1"/>
    </xf>
    <xf borderId="1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3" numFmtId="0" xfId="0" applyAlignment="1" applyFont="1">
      <alignment horizontal="center" shrinkToFit="0" wrapText="1"/>
    </xf>
    <xf borderId="9" fillId="0" fontId="2" numFmtId="0" xfId="0" applyBorder="1" applyFont="1"/>
    <xf borderId="10" fillId="0" fontId="2" numFmtId="0" xfId="0" applyBorder="1" applyFont="1"/>
    <xf borderId="2" fillId="0" fontId="6" numFmtId="0" xfId="0" applyAlignment="1" applyBorder="1" applyFont="1">
      <alignment horizontal="center" shrinkToFit="0" wrapText="1"/>
    </xf>
    <xf borderId="0" fillId="0" fontId="7" numFmtId="0" xfId="0" applyFont="1"/>
    <xf borderId="11" fillId="0" fontId="3" numFmtId="0" xfId="0" applyAlignment="1" applyBorder="1" applyFont="1">
      <alignment horizontal="center" shrinkToFit="0" wrapText="1"/>
    </xf>
    <xf borderId="9" fillId="0" fontId="8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center" shrinkToFit="0" wrapText="1"/>
    </xf>
    <xf borderId="11" fillId="0" fontId="6" numFmtId="46" xfId="0" applyAlignment="1" applyBorder="1" applyFont="1" applyNumberFormat="1">
      <alignment horizontal="center" shrinkToFit="0" wrapText="1"/>
    </xf>
    <xf borderId="11" fillId="0" fontId="6" numFmtId="0" xfId="0" applyAlignment="1" applyBorder="1" applyFont="1">
      <alignment horizontal="center" shrinkToFit="0" wrapText="1"/>
    </xf>
    <xf borderId="6" fillId="0" fontId="9" numFmtId="0" xfId="0" applyAlignment="1" applyBorder="1" applyFont="1">
      <alignment horizontal="center" shrinkToFit="0" wrapText="1"/>
    </xf>
    <xf borderId="11" fillId="0" fontId="10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12" fillId="0" fontId="10" numFmtId="4" xfId="0" applyAlignment="1" applyBorder="1" applyFont="1" applyNumberFormat="1">
      <alignment horizontal="center" shrinkToFit="0" vertical="center" wrapText="1"/>
    </xf>
    <xf borderId="12" fillId="0" fontId="12" numFmtId="0" xfId="0" applyAlignment="1" applyBorder="1" applyFont="1">
      <alignment horizontal="center"/>
    </xf>
    <xf borderId="12" fillId="0" fontId="8" numFmtId="4" xfId="0" applyAlignment="1" applyBorder="1" applyFont="1" applyNumberFormat="1">
      <alignment horizontal="center" shrinkToFit="0" vertical="center" wrapText="1"/>
    </xf>
    <xf borderId="13" fillId="0" fontId="8" numFmtId="20" xfId="0" applyAlignment="1" applyBorder="1" applyFont="1" applyNumberFormat="1">
      <alignment horizontal="center" vertical="center"/>
    </xf>
    <xf borderId="12" fillId="0" fontId="7" numFmtId="4" xfId="0" applyAlignment="1" applyBorder="1" applyFont="1" applyNumberFormat="1">
      <alignment horizontal="center" shrinkToFit="0" vertical="center" wrapText="1"/>
    </xf>
    <xf borderId="13" fillId="0" fontId="7" numFmtId="20" xfId="0" applyAlignment="1" applyBorder="1" applyFont="1" applyNumberFormat="1">
      <alignment horizontal="center" vertical="center"/>
    </xf>
    <xf borderId="13" fillId="0" fontId="8" numFmtId="4" xfId="0" applyAlignment="1" applyBorder="1" applyFont="1" applyNumberFormat="1">
      <alignment horizontal="center" shrinkToFit="0" vertical="center" wrapText="1"/>
    </xf>
    <xf borderId="14" fillId="0" fontId="8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8" numFmtId="0" xfId="0" applyBorder="1" applyFont="1"/>
    <xf borderId="18" fillId="2" fontId="7" numFmtId="164" xfId="0" applyAlignment="1" applyBorder="1" applyFill="1" applyFont="1" applyNumberFormat="1">
      <alignment horizontal="center" vertical="center"/>
    </xf>
    <xf borderId="19" fillId="0" fontId="8" numFmtId="0" xfId="0" applyBorder="1" applyFont="1"/>
    <xf borderId="0" fillId="0" fontId="8" numFmtId="0" xfId="0" applyFont="1"/>
    <xf borderId="20" fillId="0" fontId="13" numFmtId="0" xfId="0" applyAlignment="1" applyBorder="1" applyFont="1">
      <alignment horizontal="left" shrinkToFit="0" vertical="center" wrapText="1"/>
    </xf>
    <xf borderId="20" fillId="0" fontId="2" numFmtId="0" xfId="0" applyBorder="1" applyFont="1"/>
    <xf borderId="0" fillId="0" fontId="14" numFmtId="0" xfId="0" applyFont="1"/>
    <xf borderId="0" fillId="0" fontId="8" numFmtId="46" xfId="0" applyFont="1" applyNumberFormat="1"/>
    <xf borderId="11" fillId="0" fontId="6" numFmtId="16" xfId="0" applyAlignment="1" applyBorder="1" applyFont="1" applyNumberFormat="1">
      <alignment horizontal="center" shrinkToFit="0" wrapText="1"/>
    </xf>
    <xf borderId="12" fillId="0" fontId="11" numFmtId="16" xfId="0" applyAlignment="1" applyBorder="1" applyFont="1" applyNumberFormat="1">
      <alignment horizontal="center" shrinkToFit="0" vertical="center" wrapText="1"/>
    </xf>
    <xf borderId="20" fillId="0" fontId="13" numFmtId="20" xfId="0" applyAlignment="1" applyBorder="1" applyFont="1" applyNumberFormat="1">
      <alignment horizontal="left" shrinkToFit="0" vertical="center" wrapText="1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0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0" xfId="0" applyAlignment="true" applyBorder="1" applyFont="true" applyNumberFormat="true">
      <alignment horizontal="center" vertical="center"/>
    </xf>
    <xf numFmtId="0" fontId="18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numFmtId="0" fontId="19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numFmtId="0" fontId="20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numFmtId="0" fontId="21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numFmtId="0" fontId="22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numFmtId="0" fontId="23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numFmtId="0" fontId="24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0" fillId="0" fontId="15" numFmtId="20" xfId="0" applyAlignment="true" applyFont="true" applyNumberFormat="true">
      <alignment readingOrder="0" shrinkToFit="0" vertical="center" wrapText="0" horizont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0" fillId="0" fontId="15" numFmtId="20" xfId="0" applyAlignment="true" applyFont="true" applyNumberFormat="true">
      <alignment readingOrder="0" shrinkToFit="0" vertical="center" wrapText="0" horizont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0" fillId="0" fontId="15" numFmtId="20" xfId="0" applyAlignment="true" applyFont="true" applyNumberFormat="true">
      <alignment readingOrder="0" shrinkToFit="0" vertical="center" wrapText="0" horizont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0" fillId="0" fontId="15" numFmtId="20" xfId="0" applyAlignment="true" applyFont="true" applyNumberFormat="true">
      <alignment readingOrder="0" shrinkToFit="0" vertical="center" wrapText="0" horizontal="center"/>
    </xf>
    <xf borderId="12" fillId="0" fontId="15" numFmtId="0" xfId="0" applyAlignment="true" applyBorder="1" applyFont="true" applyNumberFormat="true">
      <alignment horizontal="center" shrinkToFit="0" vertical="center" wrapText="1"/>
    </xf>
    <xf numFmtId="0" fontId="25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numFmtId="0" fontId="26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2" fillId="0" fontId="15" numFmtId="165" xfId="0" applyAlignment="true" applyBorder="1" applyFont="true" applyNumberFormat="true">
      <alignment horizontal="center" shrinkToFit="0" vertical="center" wrapText="1"/>
    </xf>
    <xf borderId="12" fillId="0" fontId="15" numFmtId="165" xfId="0" applyAlignment="true" applyBorder="1" applyFont="true" applyNumberFormat="true">
      <alignment horizontal="center" shrinkToFit="0" vertical="center" wrapText="1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2" fillId="0" fontId="15" numFmtId="165" xfId="0" applyAlignment="true" applyBorder="1" applyFont="true" applyNumberFormat="true">
      <alignment horizontal="center" shrinkToFit="0" vertical="center" wrapText="1"/>
    </xf>
    <xf borderId="12" fillId="0" fontId="15" numFmtId="165" xfId="0" applyAlignment="true" applyBorder="1" applyFont="true" applyNumberFormat="true">
      <alignment horizontal="center" shrinkToFit="0" vertical="center" wrapText="1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2" fillId="0" fontId="15" numFmtId="165" xfId="0" applyAlignment="true" applyBorder="1" applyFont="true" applyNumberFormat="true">
      <alignment horizontal="center" shrinkToFit="0" vertical="center" wrapText="1"/>
    </xf>
    <xf borderId="12" fillId="0" fontId="15" numFmtId="165" xfId="0" applyAlignment="true" applyBorder="1" applyFont="true" applyNumberFormat="true">
      <alignment horizontal="center" shrinkToFit="0" vertical="center" wrapText="1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2" fillId="0" fontId="15" numFmtId="165" xfId="0" applyAlignment="true" applyBorder="1" applyFont="true" applyNumberFormat="true">
      <alignment horizontal="center" shrinkToFit="0" vertical="center" wrapText="1"/>
    </xf>
    <xf borderId="12" fillId="0" fontId="15" numFmtId="165" xfId="0" applyAlignment="true" applyBorder="1" applyFont="true" applyNumberFormat="true">
      <alignment horizontal="center" shrinkToFit="0" vertical="center" wrapText="1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numFmtId="0" fontId="27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numFmtId="0" fontId="28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2" fillId="0" fontId="16" numFmtId="0" xfId="0" applyAlignment="true" applyBorder="1" applyFont="true" applyNumberFormat="true">
      <alignment horizontal="center" vertical="center"/>
    </xf>
    <xf borderId="11" fillId="0" fontId="15" numFmtId="164" xfId="0" applyAlignment="true" applyBorder="1" applyFont="true" applyNumberFormat="true">
      <alignment horizontal="center" shrinkToFit="0" wrapText="1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3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165" xfId="0" applyAlignment="true" applyBorder="1" applyFont="true" applyNumberFormat="true">
      <alignment horizontal="center" vertical="center"/>
    </xf>
    <xf borderId="13" fillId="0" fontId="15" numFmtId="20" xfId="0" applyAlignment="true" applyBorder="1" applyFont="true" applyNumberFormat="true">
      <alignment horizontal="center" vertical="center"/>
    </xf>
    <xf borderId="12" fillId="0" fontId="15" numFmtId="0" xfId="0" applyAlignment="true" applyBorder="1" applyFont="true" applyNumberFormat="true">
      <alignment horizontal="center" shrinkToFit="0" vertical="center" wrapText="1"/>
    </xf>
    <xf numFmtId="0" fontId="29" fillId="0" borderId="0" xfId="0" applyFont="true"/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  <xf borderId="18" fillId="2" fontId="15" numFmtId="164" xfId="0" applyAlignment="true" applyBorder="1" applyFill="1" applyFont="true" applyNumberFormat="true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metadata" Type="http://customschemas.google.com/relationships/workbookmetadata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drawings/drawing1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drawings/drawing1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3</v>
      </c>
      <c r="B4" s="7"/>
      <c r="C4" s="7"/>
      <c r="D4" s="7"/>
      <c r="E4" s="8"/>
      <c r="F4" s="12"/>
      <c r="G4" s="18" t="s">
        <v>54</v>
      </c>
      <c r="T4" s="14"/>
      <c r="U4" s="19"/>
      <c r="V4" s="2"/>
      <c r="W4" s="2"/>
      <c r="X4" s="3"/>
    </row>
    <row r="5" ht="21.0" customHeight="1">
      <c r="A5" s="47" t="n">
        <f>SUM(F40,L40:T40)</f>
        <v>6.666666666666666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46" t="s">
        <v>55</v>
      </c>
    </row>
    <row r="9" ht="12.75" customHeight="1">
      <c r="A9" s="27" t="s">
        <v>56</v>
      </c>
      <c r="B9" s="27" t="s">
        <v>57</v>
      </c>
      <c r="C9" s="51" t="s">
        <v>58</v>
      </c>
      <c r="D9" s="48"/>
      <c r="E9" s="49"/>
      <c r="F9" s="50" t="n">
        <f>MOD(E9-D9,1)</f>
        <v>0.0</v>
      </c>
      <c r="G9" s="29"/>
      <c r="H9" s="27"/>
      <c r="I9" s="27"/>
      <c r="J9" s="27"/>
      <c r="K9" s="27"/>
      <c r="L9" s="28"/>
      <c r="M9" s="28"/>
      <c r="N9" s="28"/>
      <c r="O9" s="28"/>
      <c r="P9" s="28"/>
      <c r="Q9" s="30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60</v>
      </c>
      <c r="C10" s="55" t="s">
        <v>61</v>
      </c>
      <c r="D10" s="52"/>
      <c r="E10" s="53"/>
      <c r="F10" s="54" t="n">
        <f>MOD(E10-D10,1)</f>
        <v>0.0</v>
      </c>
      <c r="G10" s="27"/>
      <c r="H10" s="27"/>
      <c r="I10" s="27"/>
      <c r="J10" s="27"/>
      <c r="K10" s="27"/>
      <c r="L10" s="56" t="n">
        <v>0.3333333333333333</v>
      </c>
      <c r="M10" s="28"/>
      <c r="N10" s="28"/>
      <c r="O10" s="28"/>
      <c r="P10" s="28"/>
      <c r="Q10" s="30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63</v>
      </c>
      <c r="C11" s="60" t="s">
        <v>64</v>
      </c>
      <c r="D11" s="57"/>
      <c r="E11" s="58"/>
      <c r="F11" s="59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30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66</v>
      </c>
      <c r="C12" s="64" t="s">
        <v>67</v>
      </c>
      <c r="D12" s="61"/>
      <c r="E12" s="62"/>
      <c r="F12" s="63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30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69</v>
      </c>
      <c r="C13" s="68" t="s">
        <v>61</v>
      </c>
      <c r="D13" s="65"/>
      <c r="E13" s="66"/>
      <c r="F13" s="67" t="n">
        <f>MOD(E13-D13,1)</f>
        <v>0.0</v>
      </c>
      <c r="G13" s="27"/>
      <c r="H13" s="27"/>
      <c r="I13" s="27"/>
      <c r="J13" s="27"/>
      <c r="K13" s="27"/>
      <c r="L13" s="69" t="n">
        <v>0.3333333333333333</v>
      </c>
      <c r="M13" s="28"/>
      <c r="N13" s="28"/>
      <c r="O13" s="28"/>
      <c r="P13" s="28"/>
      <c r="Q13" s="30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71</v>
      </c>
      <c r="C14" s="73" t="s">
        <v>58</v>
      </c>
      <c r="D14" s="70"/>
      <c r="E14" s="71"/>
      <c r="F14" s="72" t="n">
        <f>MOD(E14-D14,1)</f>
        <v>0.0</v>
      </c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30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73</v>
      </c>
      <c r="C15" s="77" t="s">
        <v>61</v>
      </c>
      <c r="D15" s="74"/>
      <c r="E15" s="75"/>
      <c r="F15" s="76" t="n">
        <f>MOD(E15-D15,1)</f>
        <v>0.0</v>
      </c>
      <c r="G15" s="27"/>
      <c r="H15" s="27"/>
      <c r="I15" s="27"/>
      <c r="J15" s="27"/>
      <c r="K15" s="27"/>
      <c r="L15" s="78" t="n">
        <v>0.3333333333333333</v>
      </c>
      <c r="M15" s="28"/>
      <c r="N15" s="28"/>
      <c r="O15" s="28"/>
      <c r="P15" s="28"/>
      <c r="Q15" s="30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57</v>
      </c>
      <c r="C16" s="82" t="s">
        <v>61</v>
      </c>
      <c r="D16" s="79"/>
      <c r="E16" s="80"/>
      <c r="F16" s="81" t="n">
        <f>MOD(E16-D16,1)</f>
        <v>0.0</v>
      </c>
      <c r="G16" s="27"/>
      <c r="H16" s="27"/>
      <c r="I16" s="27"/>
      <c r="J16" s="27"/>
      <c r="K16" s="27"/>
      <c r="L16" s="83" t="n">
        <v>0.3333333333333333</v>
      </c>
      <c r="M16" s="28"/>
      <c r="N16" s="28"/>
      <c r="O16" s="28"/>
      <c r="P16" s="28"/>
      <c r="Q16" s="30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60</v>
      </c>
      <c r="C17" s="87" t="s">
        <v>61</v>
      </c>
      <c r="D17" s="84"/>
      <c r="E17" s="85"/>
      <c r="F17" s="86" t="n">
        <f>MOD(E17-D17,1)</f>
        <v>0.0</v>
      </c>
      <c r="G17" s="27"/>
      <c r="H17" s="27"/>
      <c r="I17" s="27"/>
      <c r="J17" s="27"/>
      <c r="K17" s="27"/>
      <c r="L17" s="88" t="n">
        <v>0.3333333333333333</v>
      </c>
      <c r="M17" s="28"/>
      <c r="N17" s="28"/>
      <c r="O17" s="28"/>
      <c r="P17" s="28"/>
      <c r="Q17" s="30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63</v>
      </c>
      <c r="C18" s="92" t="s">
        <v>64</v>
      </c>
      <c r="D18" s="89"/>
      <c r="E18" s="90"/>
      <c r="F18" s="91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30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66</v>
      </c>
      <c r="C19" s="96" t="s">
        <v>67</v>
      </c>
      <c r="D19" s="93"/>
      <c r="E19" s="94"/>
      <c r="F19" s="95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30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69</v>
      </c>
      <c r="C20" s="100" t="s">
        <v>61</v>
      </c>
      <c r="D20" s="97"/>
      <c r="E20" s="98"/>
      <c r="F20" s="99" t="n">
        <f>MOD(E20-D20,1)</f>
        <v>0.0</v>
      </c>
      <c r="G20" s="27"/>
      <c r="H20" s="27"/>
      <c r="I20" s="27"/>
      <c r="J20" s="27"/>
      <c r="K20" s="27"/>
      <c r="L20" s="101" t="n">
        <v>0.3333333333333333</v>
      </c>
      <c r="M20" s="28"/>
      <c r="N20" s="28"/>
      <c r="O20" s="28"/>
      <c r="P20" s="28"/>
      <c r="Q20" s="30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71</v>
      </c>
      <c r="C21" s="105" t="s">
        <v>80</v>
      </c>
      <c r="D21" s="102" t="s">
        <v>81</v>
      </c>
      <c r="E21" s="103" t="s">
        <v>82</v>
      </c>
      <c r="F21" s="104" t="n">
        <f>MOD(E21-D21,1)</f>
        <v>0.3333333333333333</v>
      </c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30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73</v>
      </c>
      <c r="C22" s="109" t="s">
        <v>80</v>
      </c>
      <c r="D22" s="106" t="s">
        <v>81</v>
      </c>
      <c r="E22" s="107" t="s">
        <v>82</v>
      </c>
      <c r="F22" s="108" t="n">
        <f>MOD(E22-D22,1)</f>
        <v>0.3333333333333333</v>
      </c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30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57</v>
      </c>
      <c r="C23" s="113" t="s">
        <v>80</v>
      </c>
      <c r="D23" s="110" t="s">
        <v>81</v>
      </c>
      <c r="E23" s="111" t="s">
        <v>82</v>
      </c>
      <c r="F23" s="112" t="n">
        <f>MOD(E23-D23,1)</f>
        <v>0.3333333333333333</v>
      </c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30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60</v>
      </c>
      <c r="C24" s="117" t="s">
        <v>80</v>
      </c>
      <c r="D24" s="114" t="s">
        <v>81</v>
      </c>
      <c r="E24" s="115" t="s">
        <v>82</v>
      </c>
      <c r="F24" s="116" t="n">
        <f>MOD(E24-D24,1)</f>
        <v>0.3333333333333333</v>
      </c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30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63</v>
      </c>
      <c r="C25" s="121" t="s">
        <v>64</v>
      </c>
      <c r="D25" s="118"/>
      <c r="E25" s="119"/>
      <c r="F25" s="120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30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66</v>
      </c>
      <c r="C26" s="125" t="s">
        <v>67</v>
      </c>
      <c r="D26" s="122"/>
      <c r="E26" s="123"/>
      <c r="F26" s="124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30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69</v>
      </c>
      <c r="C27" s="129" t="s">
        <v>80</v>
      </c>
      <c r="D27" s="126" t="s">
        <v>81</v>
      </c>
      <c r="E27" s="127" t="s">
        <v>82</v>
      </c>
      <c r="F27" s="128" t="n">
        <f>MOD(E27-D27,1)</f>
        <v>0.3333333333333333</v>
      </c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30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71</v>
      </c>
      <c r="C28" s="133" t="s">
        <v>80</v>
      </c>
      <c r="D28" s="130" t="s">
        <v>81</v>
      </c>
      <c r="E28" s="131" t="s">
        <v>82</v>
      </c>
      <c r="F28" s="132" t="n">
        <f>MOD(E28-D28,1)</f>
        <v>0.3333333333333333</v>
      </c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30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73</v>
      </c>
      <c r="C29" s="137" t="s">
        <v>80</v>
      </c>
      <c r="D29" s="134" t="s">
        <v>81</v>
      </c>
      <c r="E29" s="135" t="s">
        <v>82</v>
      </c>
      <c r="F29" s="136" t="n">
        <f>MOD(E29-D29,1)</f>
        <v>0.3333333333333333</v>
      </c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30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57</v>
      </c>
      <c r="C30" s="141" t="s">
        <v>80</v>
      </c>
      <c r="D30" s="138" t="s">
        <v>81</v>
      </c>
      <c r="E30" s="139" t="s">
        <v>82</v>
      </c>
      <c r="F30" s="140" t="n">
        <f>MOD(E30-D30,1)</f>
        <v>0.3333333333333333</v>
      </c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30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60</v>
      </c>
      <c r="C31" s="145" t="s">
        <v>80</v>
      </c>
      <c r="D31" s="142" t="s">
        <v>81</v>
      </c>
      <c r="E31" s="143" t="s">
        <v>82</v>
      </c>
      <c r="F31" s="144" t="n">
        <f>MOD(E31-D31,1)</f>
        <v>0.3333333333333333</v>
      </c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30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8" t="s">
        <v>63</v>
      </c>
      <c r="C32" s="149" t="s">
        <v>64</v>
      </c>
      <c r="D32" s="146"/>
      <c r="E32" s="147"/>
      <c r="F32" s="148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30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66</v>
      </c>
      <c r="C33" s="153" t="s">
        <v>67</v>
      </c>
      <c r="D33" s="150"/>
      <c r="E33" s="151"/>
      <c r="F33" s="152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30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69</v>
      </c>
      <c r="C34" s="157" t="s">
        <v>80</v>
      </c>
      <c r="D34" s="154" t="s">
        <v>81</v>
      </c>
      <c r="E34" s="155" t="s">
        <v>82</v>
      </c>
      <c r="F34" s="156" t="n">
        <f>MOD(E34-D34,1)</f>
        <v>0.3333333333333333</v>
      </c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30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71</v>
      </c>
      <c r="C35" s="161" t="s">
        <v>80</v>
      </c>
      <c r="D35" s="158" t="s">
        <v>81</v>
      </c>
      <c r="E35" s="159" t="s">
        <v>82</v>
      </c>
      <c r="F35" s="160" t="n">
        <f>MOD(E35-D35,1)</f>
        <v>0.3333333333333333</v>
      </c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30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73</v>
      </c>
      <c r="C36" s="165" t="s">
        <v>80</v>
      </c>
      <c r="D36" s="162" t="s">
        <v>81</v>
      </c>
      <c r="E36" s="163" t="s">
        <v>82</v>
      </c>
      <c r="F36" s="164" t="n">
        <f>MOD(E36-D36,1)</f>
        <v>0.3333333333333333</v>
      </c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30"/>
      <c r="R36" s="28"/>
      <c r="S36" s="28"/>
      <c r="T36" s="28"/>
      <c r="U36" s="27"/>
      <c r="V36" s="27"/>
      <c r="W36" s="27"/>
      <c r="X36" s="27"/>
    </row>
    <row r="37" ht="12.75" customHeight="1">
      <c r="A37" s="27" t="s">
        <v>98</v>
      </c>
      <c r="B37" s="27" t="s">
        <v>57</v>
      </c>
      <c r="C37" s="169" t="s">
        <v>80</v>
      </c>
      <c r="D37" s="166" t="s">
        <v>81</v>
      </c>
      <c r="E37" s="167" t="s">
        <v>82</v>
      </c>
      <c r="F37" s="168" t="n">
        <f>MOD(E37-D37,1)</f>
        <v>0.3333333333333333</v>
      </c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30"/>
      <c r="R37" s="28"/>
      <c r="S37" s="28"/>
      <c r="T37" s="28"/>
      <c r="U37" s="27"/>
      <c r="V37" s="27"/>
      <c r="W37" s="27"/>
      <c r="X37" s="27"/>
    </row>
    <row r="38" ht="12.75" customHeight="1">
      <c r="A38" s="27" t="s">
        <v>99</v>
      </c>
      <c r="B38" s="27" t="s">
        <v>60</v>
      </c>
      <c r="C38" s="173" t="s">
        <v>80</v>
      </c>
      <c r="D38" s="170" t="s">
        <v>81</v>
      </c>
      <c r="E38" s="171" t="s">
        <v>82</v>
      </c>
      <c r="F38" s="172" t="n">
        <f>MOD(E38-D38,1)</f>
        <v>0.3333333333333333</v>
      </c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30"/>
      <c r="R38" s="28"/>
      <c r="S38" s="28"/>
      <c r="T38" s="28"/>
      <c r="U38" s="27"/>
      <c r="V38" s="27"/>
      <c r="W38" s="27"/>
      <c r="X38" s="27"/>
    </row>
    <row r="39" ht="12.75" customHeight="1">
      <c r="A39" s="31" t="s">
        <v>100</v>
      </c>
      <c r="B39" s="28" t="s">
        <v>63</v>
      </c>
      <c r="C39" s="177" t="s">
        <v>64</v>
      </c>
      <c r="D39" s="174"/>
      <c r="E39" s="175"/>
      <c r="F39" s="176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30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179" t="n">
        <f>SUM(F9:F39)</f>
        <v>4.666666666666666</v>
      </c>
      <c r="G40" s="35"/>
      <c r="H40" s="35"/>
      <c r="I40" s="35"/>
      <c r="J40" s="35"/>
      <c r="K40" s="35"/>
      <c r="L40" s="180" t="n">
        <f t="shared" ref="L40:T40" si="1">SUM(L9:L39)</f>
        <v>1.9999999999999998</v>
      </c>
      <c r="M40" s="181" t="n">
        <f t="shared" si="1">SUM(M9:M39)</f>
        <v>0.0</v>
      </c>
      <c r="N40" s="182" t="n">
        <f t="shared" si="1">SUM(N9:N39)</f>
        <v>0.0</v>
      </c>
      <c r="O40" s="183" t="n">
        <f t="shared" si="1">SUM(O9:O39)</f>
        <v>0.0</v>
      </c>
      <c r="P40" s="184" t="n">
        <f t="shared" si="1">SUM(P9:P39)</f>
        <v>0.0</v>
      </c>
      <c r="Q40" s="185" t="n">
        <f t="shared" si="1">SUM(Q9:Q39)</f>
        <v>0.0</v>
      </c>
      <c r="R40" s="186" t="n">
        <f t="shared" si="1">SUM(R9:R39)</f>
        <v>0.0</v>
      </c>
      <c r="S40" s="187" t="n">
        <f t="shared" si="1">SUM(S9:S39)</f>
        <v>0.0</v>
      </c>
      <c r="T40" s="188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32</v>
      </c>
      <c r="I42" s="42"/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178">
        <v>101</v>
      </c>
      <c r="K43" s="42"/>
      <c r="M43" s="41" t="s">
        <v>14</v>
      </c>
    </row>
    <row r="44" ht="12.75" customHeight="1">
      <c r="B44" s="41" t="s">
        <v>36</v>
      </c>
      <c r="K44" s="41" t="s">
        <v>34</v>
      </c>
      <c r="M44" s="41" t="s">
        <v>14</v>
      </c>
    </row>
    <row r="45" ht="12.75" customHeight="1">
      <c r="J45" s="41" t="s">
        <v>37</v>
      </c>
      <c r="K45" s="41" t="s">
        <v>34</v>
      </c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39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3</v>
      </c>
      <c r="B4" s="7"/>
      <c r="C4" s="7"/>
      <c r="D4" s="7"/>
      <c r="E4" s="8"/>
      <c r="F4" s="12"/>
      <c r="G4" s="18" t="s">
        <v>102</v>
      </c>
      <c r="T4" s="14"/>
      <c r="U4" s="19"/>
      <c r="V4" s="2"/>
      <c r="W4" s="2"/>
      <c r="X4" s="3"/>
    </row>
    <row r="5" ht="21.0" customHeight="1">
      <c r="A5" s="190" t="n">
        <f>SUM(F40,L40:T40)</f>
        <v>6.666666666666664</v>
      </c>
      <c r="B5" s="7"/>
      <c r="C5" s="8"/>
      <c r="D5" s="43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44">
        <v>46086.0</v>
      </c>
      <c r="V8" s="24"/>
      <c r="W8" s="24"/>
      <c r="X8" s="189" t="s">
        <v>55</v>
      </c>
    </row>
    <row r="9" ht="12.75" customHeight="1">
      <c r="A9" s="27" t="s">
        <v>56</v>
      </c>
      <c r="B9" s="27" t="s">
        <v>66</v>
      </c>
      <c r="C9" s="194" t="s">
        <v>67</v>
      </c>
      <c r="D9" s="191"/>
      <c r="E9" s="192"/>
      <c r="F9" s="193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69</v>
      </c>
      <c r="C10" s="198" t="s">
        <v>80</v>
      </c>
      <c r="D10" s="195" t="s">
        <v>81</v>
      </c>
      <c r="E10" s="196" t="s">
        <v>82</v>
      </c>
      <c r="F10" s="197" t="n">
        <f>MOD(E10-D10,1)</f>
        <v>0.3333333333333333</v>
      </c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71</v>
      </c>
      <c r="C11" s="202" t="s">
        <v>80</v>
      </c>
      <c r="D11" s="199" t="s">
        <v>81</v>
      </c>
      <c r="E11" s="200" t="s">
        <v>82</v>
      </c>
      <c r="F11" s="201" t="n">
        <f>MOD(E11-D11,1)</f>
        <v>0.3333333333333333</v>
      </c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73</v>
      </c>
      <c r="C12" s="206" t="s">
        <v>80</v>
      </c>
      <c r="D12" s="203" t="s">
        <v>81</v>
      </c>
      <c r="E12" s="204" t="s">
        <v>82</v>
      </c>
      <c r="F12" s="205" t="n">
        <f>MOD(E12-D12,1)</f>
        <v>0.3333333333333333</v>
      </c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57</v>
      </c>
      <c r="C13" s="210" t="s">
        <v>80</v>
      </c>
      <c r="D13" s="207" t="s">
        <v>81</v>
      </c>
      <c r="E13" s="208" t="s">
        <v>82</v>
      </c>
      <c r="F13" s="209" t="n">
        <f>MOD(E13-D13,1)</f>
        <v>0.3333333333333333</v>
      </c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60</v>
      </c>
      <c r="C14" s="214" t="s">
        <v>80</v>
      </c>
      <c r="D14" s="211" t="s">
        <v>81</v>
      </c>
      <c r="E14" s="212" t="s">
        <v>82</v>
      </c>
      <c r="F14" s="213" t="n">
        <f>MOD(E14-D14,1)</f>
        <v>0.3333333333333333</v>
      </c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63</v>
      </c>
      <c r="C15" s="218" t="s">
        <v>64</v>
      </c>
      <c r="D15" s="215"/>
      <c r="E15" s="216"/>
      <c r="F15" s="217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66</v>
      </c>
      <c r="C16" s="222" t="s">
        <v>67</v>
      </c>
      <c r="D16" s="219"/>
      <c r="E16" s="220"/>
      <c r="F16" s="221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69</v>
      </c>
      <c r="C17" s="226" t="s">
        <v>80</v>
      </c>
      <c r="D17" s="223" t="s">
        <v>81</v>
      </c>
      <c r="E17" s="224" t="s">
        <v>82</v>
      </c>
      <c r="F17" s="225" t="n">
        <f>MOD(E17-D17,1)</f>
        <v>0.3333333333333333</v>
      </c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71</v>
      </c>
      <c r="C18" s="230" t="s">
        <v>80</v>
      </c>
      <c r="D18" s="227" t="s">
        <v>81</v>
      </c>
      <c r="E18" s="228" t="s">
        <v>82</v>
      </c>
      <c r="F18" s="229" t="n">
        <f>MOD(E18-D18,1)</f>
        <v>0.3333333333333333</v>
      </c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73</v>
      </c>
      <c r="C19" s="234" t="s">
        <v>80</v>
      </c>
      <c r="D19" s="231" t="s">
        <v>81</v>
      </c>
      <c r="E19" s="232" t="s">
        <v>82</v>
      </c>
      <c r="F19" s="233" t="n">
        <f>MOD(E19-D19,1)</f>
        <v>0.3333333333333333</v>
      </c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57</v>
      </c>
      <c r="C20" s="238" t="s">
        <v>80</v>
      </c>
      <c r="D20" s="235" t="s">
        <v>81</v>
      </c>
      <c r="E20" s="236" t="s">
        <v>82</v>
      </c>
      <c r="F20" s="237" t="n">
        <f>MOD(E20-D20,1)</f>
        <v>0.3333333333333333</v>
      </c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60</v>
      </c>
      <c r="C21" s="242" t="s">
        <v>80</v>
      </c>
      <c r="D21" s="239" t="s">
        <v>81</v>
      </c>
      <c r="E21" s="240" t="s">
        <v>82</v>
      </c>
      <c r="F21" s="241" t="n">
        <f>MOD(E21-D21,1)</f>
        <v>0.3333333333333333</v>
      </c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63</v>
      </c>
      <c r="C22" s="246" t="s">
        <v>64</v>
      </c>
      <c r="D22" s="243"/>
      <c r="E22" s="244"/>
      <c r="F22" s="245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66</v>
      </c>
      <c r="C23" s="250" t="s">
        <v>67</v>
      </c>
      <c r="D23" s="247"/>
      <c r="E23" s="248"/>
      <c r="F23" s="249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69</v>
      </c>
      <c r="C24" s="254" t="s">
        <v>80</v>
      </c>
      <c r="D24" s="251" t="s">
        <v>81</v>
      </c>
      <c r="E24" s="252" t="s">
        <v>82</v>
      </c>
      <c r="F24" s="253" t="n">
        <f>MOD(E24-D24,1)</f>
        <v>0.3333333333333333</v>
      </c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71</v>
      </c>
      <c r="C25" s="258" t="s">
        <v>80</v>
      </c>
      <c r="D25" s="255" t="s">
        <v>81</v>
      </c>
      <c r="E25" s="256" t="s">
        <v>82</v>
      </c>
      <c r="F25" s="257" t="n">
        <f>MOD(E25-D25,1)</f>
        <v>0.3333333333333333</v>
      </c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73</v>
      </c>
      <c r="C26" s="262" t="s">
        <v>80</v>
      </c>
      <c r="D26" s="259" t="s">
        <v>81</v>
      </c>
      <c r="E26" s="260" t="s">
        <v>82</v>
      </c>
      <c r="F26" s="261" t="n">
        <f>MOD(E26-D26,1)</f>
        <v>0.3333333333333333</v>
      </c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57</v>
      </c>
      <c r="C27" s="266" t="s">
        <v>80</v>
      </c>
      <c r="D27" s="263" t="s">
        <v>81</v>
      </c>
      <c r="E27" s="264" t="s">
        <v>82</v>
      </c>
      <c r="F27" s="265" t="n">
        <f>MOD(E27-D27,1)</f>
        <v>0.3333333333333333</v>
      </c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60</v>
      </c>
      <c r="C28" s="270" t="s">
        <v>80</v>
      </c>
      <c r="D28" s="267" t="s">
        <v>81</v>
      </c>
      <c r="E28" s="268" t="s">
        <v>82</v>
      </c>
      <c r="F28" s="269" t="n">
        <f>MOD(E28-D28,1)</f>
        <v>0.3333333333333333</v>
      </c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63</v>
      </c>
      <c r="C29" s="274" t="s">
        <v>64</v>
      </c>
      <c r="D29" s="271"/>
      <c r="E29" s="272"/>
      <c r="F29" s="273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66</v>
      </c>
      <c r="C30" s="278" t="s">
        <v>67</v>
      </c>
      <c r="D30" s="275"/>
      <c r="E30" s="276"/>
      <c r="F30" s="277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69</v>
      </c>
      <c r="C31" s="282" t="s">
        <v>80</v>
      </c>
      <c r="D31" s="279" t="s">
        <v>81</v>
      </c>
      <c r="E31" s="280" t="s">
        <v>82</v>
      </c>
      <c r="F31" s="281" t="n">
        <f>MOD(E31-D31,1)</f>
        <v>0.3333333333333333</v>
      </c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7" t="s">
        <v>71</v>
      </c>
      <c r="C32" s="286" t="s">
        <v>80</v>
      </c>
      <c r="D32" s="283" t="s">
        <v>81</v>
      </c>
      <c r="E32" s="284" t="s">
        <v>82</v>
      </c>
      <c r="F32" s="285" t="n">
        <f>MOD(E32-D32,1)</f>
        <v>0.3333333333333333</v>
      </c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73</v>
      </c>
      <c r="C33" s="290" t="s">
        <v>80</v>
      </c>
      <c r="D33" s="287" t="s">
        <v>81</v>
      </c>
      <c r="E33" s="288" t="s">
        <v>82</v>
      </c>
      <c r="F33" s="289" t="n">
        <f>MOD(E33-D33,1)</f>
        <v>0.3333333333333333</v>
      </c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57</v>
      </c>
      <c r="C34" s="294" t="s">
        <v>80</v>
      </c>
      <c r="D34" s="291" t="s">
        <v>81</v>
      </c>
      <c r="E34" s="292" t="s">
        <v>82</v>
      </c>
      <c r="F34" s="293" t="n">
        <f>MOD(E34-D34,1)</f>
        <v>0.3333333333333333</v>
      </c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60</v>
      </c>
      <c r="C35" s="298" t="s">
        <v>80</v>
      </c>
      <c r="D35" s="295" t="s">
        <v>81</v>
      </c>
      <c r="E35" s="296" t="s">
        <v>82</v>
      </c>
      <c r="F35" s="297" t="n">
        <f>MOD(E35-D35,1)</f>
        <v>0.3333333333333333</v>
      </c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63</v>
      </c>
      <c r="C36" s="302" t="s">
        <v>64</v>
      </c>
      <c r="D36" s="299"/>
      <c r="E36" s="300"/>
      <c r="F36" s="301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/>
      <c r="B37" s="27"/>
      <c r="C37" s="27"/>
      <c r="D37" s="28"/>
      <c r="E37" s="28"/>
      <c r="F37" s="28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/>
      <c r="B38" s="27"/>
      <c r="C38" s="27"/>
      <c r="D38" s="28"/>
      <c r="E38" s="28"/>
      <c r="F38" s="28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304" t="n">
        <f>SUM(F9:F39)</f>
        <v>6.666666666666664</v>
      </c>
      <c r="G40" s="35"/>
      <c r="H40" s="35"/>
      <c r="I40" s="35"/>
      <c r="J40" s="35"/>
      <c r="K40" s="35"/>
      <c r="L40" s="305" t="n">
        <f t="shared" ref="L40:T40" si="1">SUM(L9:L39)</f>
        <v>0.0</v>
      </c>
      <c r="M40" s="306" t="n">
        <f t="shared" si="1">SUM(M9:M39)</f>
        <v>0.0</v>
      </c>
      <c r="N40" s="307" t="n">
        <f t="shared" si="1">SUM(N9:N39)</f>
        <v>0.0</v>
      </c>
      <c r="O40" s="308" t="n">
        <f t="shared" si="1">SUM(O9:O39)</f>
        <v>0.0</v>
      </c>
      <c r="P40" s="309" t="n">
        <f t="shared" si="1">SUM(P9:P39)</f>
        <v>0.0</v>
      </c>
      <c r="Q40" s="310" t="n">
        <f t="shared" si="1">SUM(Q9:Q39)</f>
        <v>0.0</v>
      </c>
      <c r="R40" s="311" t="n">
        <f t="shared" si="1">SUM(R9:R39)</f>
        <v>0.0</v>
      </c>
      <c r="S40" s="312" t="n">
        <f t="shared" si="1">SUM(S9:S39)</f>
        <v>0.0</v>
      </c>
      <c r="T40" s="313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40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303">
        <v>103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 t="s">
        <v>104</v>
      </c>
      <c r="T4" s="14"/>
      <c r="U4" s="19"/>
      <c r="V4" s="2"/>
      <c r="W4" s="2"/>
      <c r="X4" s="3"/>
    </row>
    <row r="5" ht="21.0" customHeight="1">
      <c r="A5" s="315" t="n">
        <f>SUM(F40,L40:T40)</f>
        <v>7.33333333333333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 t="s">
        <v>43</v>
      </c>
      <c r="V8" s="24"/>
      <c r="W8" s="24"/>
      <c r="X8" s="314" t="s">
        <v>55</v>
      </c>
    </row>
    <row r="9" ht="12.75" customHeight="1">
      <c r="A9" s="27" t="s">
        <v>56</v>
      </c>
      <c r="B9" s="27" t="s">
        <v>66</v>
      </c>
      <c r="C9" s="319" t="s">
        <v>67</v>
      </c>
      <c r="D9" s="316"/>
      <c r="E9" s="317"/>
      <c r="F9" s="318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69</v>
      </c>
      <c r="C10" s="323" t="s">
        <v>80</v>
      </c>
      <c r="D10" s="320" t="s">
        <v>81</v>
      </c>
      <c r="E10" s="321" t="s">
        <v>82</v>
      </c>
      <c r="F10" s="322" t="n">
        <f>MOD(E10-D10,1)</f>
        <v>0.3333333333333333</v>
      </c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71</v>
      </c>
      <c r="C11" s="327" t="s">
        <v>80</v>
      </c>
      <c r="D11" s="324" t="s">
        <v>81</v>
      </c>
      <c r="E11" s="325" t="s">
        <v>82</v>
      </c>
      <c r="F11" s="326" t="n">
        <f>MOD(E11-D11,1)</f>
        <v>0.3333333333333333</v>
      </c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73</v>
      </c>
      <c r="C12" s="331" t="s">
        <v>80</v>
      </c>
      <c r="D12" s="328" t="s">
        <v>81</v>
      </c>
      <c r="E12" s="329" t="s">
        <v>82</v>
      </c>
      <c r="F12" s="330" t="n">
        <f>MOD(E12-D12,1)</f>
        <v>0.3333333333333333</v>
      </c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57</v>
      </c>
      <c r="C13" s="335" t="s">
        <v>80</v>
      </c>
      <c r="D13" s="332" t="s">
        <v>81</v>
      </c>
      <c r="E13" s="333" t="s">
        <v>82</v>
      </c>
      <c r="F13" s="334" t="n">
        <f>MOD(E13-D13,1)</f>
        <v>0.3333333333333333</v>
      </c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60</v>
      </c>
      <c r="C14" s="339" t="s">
        <v>80</v>
      </c>
      <c r="D14" s="336" t="s">
        <v>81</v>
      </c>
      <c r="E14" s="337" t="s">
        <v>82</v>
      </c>
      <c r="F14" s="338" t="n">
        <f>MOD(E14-D14,1)</f>
        <v>0.3333333333333333</v>
      </c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63</v>
      </c>
      <c r="C15" s="343" t="s">
        <v>64</v>
      </c>
      <c r="D15" s="340"/>
      <c r="E15" s="341"/>
      <c r="F15" s="342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66</v>
      </c>
      <c r="C16" s="347" t="s">
        <v>67</v>
      </c>
      <c r="D16" s="344"/>
      <c r="E16" s="345"/>
      <c r="F16" s="346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69</v>
      </c>
      <c r="C17" s="351" t="s">
        <v>80</v>
      </c>
      <c r="D17" s="348" t="s">
        <v>81</v>
      </c>
      <c r="E17" s="349" t="s">
        <v>82</v>
      </c>
      <c r="F17" s="350" t="n">
        <f>MOD(E17-D17,1)</f>
        <v>0.3333333333333333</v>
      </c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71</v>
      </c>
      <c r="C18" s="355" t="s">
        <v>80</v>
      </c>
      <c r="D18" s="352" t="s">
        <v>81</v>
      </c>
      <c r="E18" s="353" t="s">
        <v>82</v>
      </c>
      <c r="F18" s="354" t="n">
        <f>MOD(E18-D18,1)</f>
        <v>0.3333333333333333</v>
      </c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73</v>
      </c>
      <c r="C19" s="359" t="s">
        <v>80</v>
      </c>
      <c r="D19" s="356" t="s">
        <v>81</v>
      </c>
      <c r="E19" s="357" t="s">
        <v>82</v>
      </c>
      <c r="F19" s="358" t="n">
        <f>MOD(E19-D19,1)</f>
        <v>0.3333333333333333</v>
      </c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57</v>
      </c>
      <c r="C20" s="363" t="s">
        <v>80</v>
      </c>
      <c r="D20" s="360" t="s">
        <v>81</v>
      </c>
      <c r="E20" s="361" t="s">
        <v>82</v>
      </c>
      <c r="F20" s="362" t="n">
        <f>MOD(E20-D20,1)</f>
        <v>0.3333333333333333</v>
      </c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60</v>
      </c>
      <c r="C21" s="367" t="s">
        <v>80</v>
      </c>
      <c r="D21" s="364" t="s">
        <v>81</v>
      </c>
      <c r="E21" s="365" t="s">
        <v>82</v>
      </c>
      <c r="F21" s="366" t="n">
        <f>MOD(E21-D21,1)</f>
        <v>0.3333333333333333</v>
      </c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63</v>
      </c>
      <c r="C22" s="371" t="s">
        <v>64</v>
      </c>
      <c r="D22" s="368"/>
      <c r="E22" s="369"/>
      <c r="F22" s="370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66</v>
      </c>
      <c r="C23" s="375" t="s">
        <v>67</v>
      </c>
      <c r="D23" s="372"/>
      <c r="E23" s="373"/>
      <c r="F23" s="374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69</v>
      </c>
      <c r="C24" s="379" t="s">
        <v>80</v>
      </c>
      <c r="D24" s="376" t="s">
        <v>81</v>
      </c>
      <c r="E24" s="377" t="s">
        <v>82</v>
      </c>
      <c r="F24" s="378" t="n">
        <f>MOD(E24-D24,1)</f>
        <v>0.3333333333333333</v>
      </c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71</v>
      </c>
      <c r="C25" s="383" t="s">
        <v>80</v>
      </c>
      <c r="D25" s="380" t="s">
        <v>81</v>
      </c>
      <c r="E25" s="381" t="s">
        <v>82</v>
      </c>
      <c r="F25" s="382" t="n">
        <f>MOD(E25-D25,1)</f>
        <v>0.3333333333333333</v>
      </c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73</v>
      </c>
      <c r="C26" s="387" t="s">
        <v>80</v>
      </c>
      <c r="D26" s="384" t="s">
        <v>81</v>
      </c>
      <c r="E26" s="385" t="s">
        <v>82</v>
      </c>
      <c r="F26" s="386" t="n">
        <f>MOD(E26-D26,1)</f>
        <v>0.3333333333333333</v>
      </c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57</v>
      </c>
      <c r="C27" s="391" t="s">
        <v>80</v>
      </c>
      <c r="D27" s="388" t="s">
        <v>81</v>
      </c>
      <c r="E27" s="389" t="s">
        <v>82</v>
      </c>
      <c r="F27" s="390" t="n">
        <f>MOD(E27-D27,1)</f>
        <v>0.3333333333333333</v>
      </c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60</v>
      </c>
      <c r="C28" s="395" t="s">
        <v>80</v>
      </c>
      <c r="D28" s="392" t="s">
        <v>81</v>
      </c>
      <c r="E28" s="393" t="s">
        <v>82</v>
      </c>
      <c r="F28" s="394" t="n">
        <f>MOD(E28-D28,1)</f>
        <v>0.3333333333333333</v>
      </c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63</v>
      </c>
      <c r="C29" s="399" t="s">
        <v>64</v>
      </c>
      <c r="D29" s="396"/>
      <c r="E29" s="397"/>
      <c r="F29" s="398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66</v>
      </c>
      <c r="C30" s="403" t="s">
        <v>67</v>
      </c>
      <c r="D30" s="400"/>
      <c r="E30" s="401"/>
      <c r="F30" s="402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69</v>
      </c>
      <c r="C31" s="407" t="s">
        <v>80</v>
      </c>
      <c r="D31" s="404" t="s">
        <v>81</v>
      </c>
      <c r="E31" s="405" t="s">
        <v>82</v>
      </c>
      <c r="F31" s="406" t="n">
        <f>MOD(E31-D31,1)</f>
        <v>0.3333333333333333</v>
      </c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7" t="s">
        <v>71</v>
      </c>
      <c r="C32" s="411" t="s">
        <v>80</v>
      </c>
      <c r="D32" s="408" t="s">
        <v>81</v>
      </c>
      <c r="E32" s="409" t="s">
        <v>82</v>
      </c>
      <c r="F32" s="410" t="n">
        <f>MOD(E32-D32,1)</f>
        <v>0.3333333333333333</v>
      </c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73</v>
      </c>
      <c r="C33" s="415" t="s">
        <v>80</v>
      </c>
      <c r="D33" s="412" t="s">
        <v>81</v>
      </c>
      <c r="E33" s="413" t="s">
        <v>82</v>
      </c>
      <c r="F33" s="414" t="n">
        <f>MOD(E33-D33,1)</f>
        <v>0.3333333333333333</v>
      </c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57</v>
      </c>
      <c r="C34" s="419" t="s">
        <v>80</v>
      </c>
      <c r="D34" s="416" t="s">
        <v>81</v>
      </c>
      <c r="E34" s="417" t="s">
        <v>82</v>
      </c>
      <c r="F34" s="418" t="n">
        <f>MOD(E34-D34,1)</f>
        <v>0.3333333333333333</v>
      </c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60</v>
      </c>
      <c r="C35" s="423" t="s">
        <v>80</v>
      </c>
      <c r="D35" s="420" t="s">
        <v>81</v>
      </c>
      <c r="E35" s="421" t="s">
        <v>82</v>
      </c>
      <c r="F35" s="422" t="n">
        <f>MOD(E35-D35,1)</f>
        <v>0.3333333333333333</v>
      </c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63</v>
      </c>
      <c r="C36" s="427" t="s">
        <v>64</v>
      </c>
      <c r="D36" s="424"/>
      <c r="E36" s="425"/>
      <c r="F36" s="426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 t="s">
        <v>98</v>
      </c>
      <c r="B37" s="27" t="s">
        <v>66</v>
      </c>
      <c r="C37" s="431" t="s">
        <v>67</v>
      </c>
      <c r="D37" s="428"/>
      <c r="E37" s="429"/>
      <c r="F37" s="430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 t="s">
        <v>99</v>
      </c>
      <c r="B38" s="27" t="s">
        <v>69</v>
      </c>
      <c r="C38" s="435" t="s">
        <v>80</v>
      </c>
      <c r="D38" s="432" t="s">
        <v>81</v>
      </c>
      <c r="E38" s="433" t="s">
        <v>82</v>
      </c>
      <c r="F38" s="434" t="n">
        <f>MOD(E38-D38,1)</f>
        <v>0.3333333333333333</v>
      </c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 t="s">
        <v>100</v>
      </c>
      <c r="B39" s="27" t="s">
        <v>71</v>
      </c>
      <c r="C39" s="439" t="s">
        <v>80</v>
      </c>
      <c r="D39" s="436" t="s">
        <v>81</v>
      </c>
      <c r="E39" s="437" t="s">
        <v>82</v>
      </c>
      <c r="F39" s="438" t="n">
        <f>MOD(E39-D39,1)</f>
        <v>0.3333333333333333</v>
      </c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441" t="n">
        <f>SUM(F9:F39)</f>
        <v>7.33333333333333</v>
      </c>
      <c r="G40" s="35"/>
      <c r="H40" s="35"/>
      <c r="I40" s="35"/>
      <c r="J40" s="35"/>
      <c r="K40" s="35"/>
      <c r="L40" s="442" t="n">
        <f t="shared" ref="L40:T40" si="1">SUM(L9:L39)</f>
        <v>0.0</v>
      </c>
      <c r="M40" s="443" t="n">
        <f t="shared" si="1">SUM(M9:M39)</f>
        <v>0.0</v>
      </c>
      <c r="N40" s="444" t="n">
        <f t="shared" si="1">SUM(N9:N39)</f>
        <v>0.0</v>
      </c>
      <c r="O40" s="445" t="n">
        <f t="shared" si="1">SUM(O9:O39)</f>
        <v>0.0</v>
      </c>
      <c r="P40" s="446" t="n">
        <f t="shared" si="1">SUM(P9:P39)</f>
        <v>0.0</v>
      </c>
      <c r="Q40" s="447" t="n">
        <f t="shared" si="1">SUM(Q9:Q39)</f>
        <v>0.0</v>
      </c>
      <c r="R40" s="448" t="n">
        <f t="shared" si="1">SUM(R9:R39)</f>
        <v>0.0</v>
      </c>
      <c r="S40" s="449" t="n">
        <f t="shared" si="1">SUM(S9:S39)</f>
        <v>0.0</v>
      </c>
      <c r="T40" s="450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440">
        <v>103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 t="s">
        <v>105</v>
      </c>
      <c r="T4" s="14"/>
      <c r="U4" s="19"/>
      <c r="V4" s="2"/>
      <c r="W4" s="2"/>
      <c r="X4" s="3"/>
    </row>
    <row r="5" ht="21.0" customHeight="1">
      <c r="A5" s="452" t="n">
        <f>SUM(F40,L40:T40)</f>
        <v>6.999999999999997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451" t="s">
        <v>55</v>
      </c>
    </row>
    <row r="9" ht="12.75" customHeight="1">
      <c r="A9" s="27" t="s">
        <v>56</v>
      </c>
      <c r="B9" s="27" t="s">
        <v>73</v>
      </c>
      <c r="C9" s="456" t="s">
        <v>80</v>
      </c>
      <c r="D9" s="453" t="s">
        <v>81</v>
      </c>
      <c r="E9" s="454" t="s">
        <v>82</v>
      </c>
      <c r="F9" s="455" t="n">
        <f>MOD(E9-D9,1)</f>
        <v>0.3333333333333333</v>
      </c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57</v>
      </c>
      <c r="C10" s="460" t="s">
        <v>80</v>
      </c>
      <c r="D10" s="457" t="s">
        <v>81</v>
      </c>
      <c r="E10" s="458" t="s">
        <v>82</v>
      </c>
      <c r="F10" s="459" t="n">
        <f>MOD(E10-D10,1)</f>
        <v>0.3333333333333333</v>
      </c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60</v>
      </c>
      <c r="C11" s="464" t="s">
        <v>80</v>
      </c>
      <c r="D11" s="461" t="s">
        <v>81</v>
      </c>
      <c r="E11" s="462" t="s">
        <v>82</v>
      </c>
      <c r="F11" s="463" t="n">
        <f>MOD(E11-D11,1)</f>
        <v>0.3333333333333333</v>
      </c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63</v>
      </c>
      <c r="C12" s="468" t="s">
        <v>64</v>
      </c>
      <c r="D12" s="465"/>
      <c r="E12" s="466"/>
      <c r="F12" s="467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66</v>
      </c>
      <c r="C13" s="472" t="s">
        <v>67</v>
      </c>
      <c r="D13" s="469"/>
      <c r="E13" s="470"/>
      <c r="F13" s="471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69</v>
      </c>
      <c r="C14" s="476" t="s">
        <v>58</v>
      </c>
      <c r="D14" s="473"/>
      <c r="E14" s="474"/>
      <c r="F14" s="475" t="n">
        <f>MOD(E14-D14,1)</f>
        <v>0.0</v>
      </c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71</v>
      </c>
      <c r="C15" s="480" t="s">
        <v>80</v>
      </c>
      <c r="D15" s="477" t="s">
        <v>81</v>
      </c>
      <c r="E15" s="478" t="s">
        <v>82</v>
      </c>
      <c r="F15" s="479" t="n">
        <f>MOD(E15-D15,1)</f>
        <v>0.3333333333333333</v>
      </c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73</v>
      </c>
      <c r="C16" s="484" t="s">
        <v>80</v>
      </c>
      <c r="D16" s="481" t="s">
        <v>81</v>
      </c>
      <c r="E16" s="482" t="s">
        <v>82</v>
      </c>
      <c r="F16" s="483" t="n">
        <f>MOD(E16-D16,1)</f>
        <v>0.3333333333333333</v>
      </c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57</v>
      </c>
      <c r="C17" s="488" t="s">
        <v>80</v>
      </c>
      <c r="D17" s="485" t="s">
        <v>81</v>
      </c>
      <c r="E17" s="486" t="s">
        <v>82</v>
      </c>
      <c r="F17" s="487" t="n">
        <f>MOD(E17-D17,1)</f>
        <v>0.3333333333333333</v>
      </c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60</v>
      </c>
      <c r="C18" s="492" t="s">
        <v>80</v>
      </c>
      <c r="D18" s="489" t="s">
        <v>81</v>
      </c>
      <c r="E18" s="490" t="s">
        <v>82</v>
      </c>
      <c r="F18" s="491" t="n">
        <f>MOD(E18-D18,1)</f>
        <v>0.3333333333333333</v>
      </c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63</v>
      </c>
      <c r="C19" s="496" t="s">
        <v>64</v>
      </c>
      <c r="D19" s="493"/>
      <c r="E19" s="494"/>
      <c r="F19" s="495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66</v>
      </c>
      <c r="C20" s="500" t="s">
        <v>67</v>
      </c>
      <c r="D20" s="497"/>
      <c r="E20" s="498"/>
      <c r="F20" s="499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69</v>
      </c>
      <c r="C21" s="504" t="s">
        <v>80</v>
      </c>
      <c r="D21" s="501" t="s">
        <v>81</v>
      </c>
      <c r="E21" s="502" t="s">
        <v>82</v>
      </c>
      <c r="F21" s="503" t="n">
        <f>MOD(E21-D21,1)</f>
        <v>0.3333333333333333</v>
      </c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71</v>
      </c>
      <c r="C22" s="508" t="s">
        <v>80</v>
      </c>
      <c r="D22" s="505" t="s">
        <v>81</v>
      </c>
      <c r="E22" s="506" t="s">
        <v>82</v>
      </c>
      <c r="F22" s="507" t="n">
        <f>MOD(E22-D22,1)</f>
        <v>0.3333333333333333</v>
      </c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73</v>
      </c>
      <c r="C23" s="512" t="s">
        <v>80</v>
      </c>
      <c r="D23" s="509" t="s">
        <v>81</v>
      </c>
      <c r="E23" s="510" t="s">
        <v>82</v>
      </c>
      <c r="F23" s="511" t="n">
        <f>MOD(E23-D23,1)</f>
        <v>0.3333333333333333</v>
      </c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57</v>
      </c>
      <c r="C24" s="516" t="s">
        <v>80</v>
      </c>
      <c r="D24" s="513" t="s">
        <v>81</v>
      </c>
      <c r="E24" s="514" t="s">
        <v>82</v>
      </c>
      <c r="F24" s="515" t="n">
        <f>MOD(E24-D24,1)</f>
        <v>0.3333333333333333</v>
      </c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60</v>
      </c>
      <c r="C25" s="520" t="s">
        <v>80</v>
      </c>
      <c r="D25" s="517" t="s">
        <v>81</v>
      </c>
      <c r="E25" s="518" t="s">
        <v>82</v>
      </c>
      <c r="F25" s="519" t="n">
        <f>MOD(E25-D25,1)</f>
        <v>0.3333333333333333</v>
      </c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63</v>
      </c>
      <c r="C26" s="524" t="s">
        <v>64</v>
      </c>
      <c r="D26" s="521"/>
      <c r="E26" s="522"/>
      <c r="F26" s="523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66</v>
      </c>
      <c r="C27" s="528" t="s">
        <v>67</v>
      </c>
      <c r="D27" s="525"/>
      <c r="E27" s="526"/>
      <c r="F27" s="527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69</v>
      </c>
      <c r="C28" s="532" t="s">
        <v>80</v>
      </c>
      <c r="D28" s="529" t="s">
        <v>81</v>
      </c>
      <c r="E28" s="530" t="s">
        <v>82</v>
      </c>
      <c r="F28" s="531" t="n">
        <f>MOD(E28-D28,1)</f>
        <v>0.3333333333333333</v>
      </c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71</v>
      </c>
      <c r="C29" s="536" t="s">
        <v>80</v>
      </c>
      <c r="D29" s="533" t="s">
        <v>81</v>
      </c>
      <c r="E29" s="534" t="s">
        <v>82</v>
      </c>
      <c r="F29" s="535" t="n">
        <f>MOD(E29-D29,1)</f>
        <v>0.3333333333333333</v>
      </c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73</v>
      </c>
      <c r="C30" s="540" t="s">
        <v>80</v>
      </c>
      <c r="D30" s="537" t="s">
        <v>81</v>
      </c>
      <c r="E30" s="538" t="s">
        <v>82</v>
      </c>
      <c r="F30" s="539" t="n">
        <f>MOD(E30-D30,1)</f>
        <v>0.3333333333333333</v>
      </c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57</v>
      </c>
      <c r="C31" s="544" t="s">
        <v>80</v>
      </c>
      <c r="D31" s="541" t="s">
        <v>81</v>
      </c>
      <c r="E31" s="542" t="s">
        <v>82</v>
      </c>
      <c r="F31" s="543" t="n">
        <f>MOD(E31-D31,1)</f>
        <v>0.3333333333333333</v>
      </c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7" t="s">
        <v>60</v>
      </c>
      <c r="C32" s="548" t="s">
        <v>80</v>
      </c>
      <c r="D32" s="545" t="s">
        <v>81</v>
      </c>
      <c r="E32" s="546" t="s">
        <v>82</v>
      </c>
      <c r="F32" s="547" t="n">
        <f>MOD(E32-D32,1)</f>
        <v>0.3333333333333333</v>
      </c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63</v>
      </c>
      <c r="C33" s="552" t="s">
        <v>64</v>
      </c>
      <c r="D33" s="549"/>
      <c r="E33" s="550"/>
      <c r="F33" s="551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66</v>
      </c>
      <c r="C34" s="556" t="s">
        <v>67</v>
      </c>
      <c r="D34" s="553"/>
      <c r="E34" s="554"/>
      <c r="F34" s="555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69</v>
      </c>
      <c r="C35" s="560" t="s">
        <v>80</v>
      </c>
      <c r="D35" s="557" t="s">
        <v>81</v>
      </c>
      <c r="E35" s="558" t="s">
        <v>82</v>
      </c>
      <c r="F35" s="559" t="n">
        <f>MOD(E35-D35,1)</f>
        <v>0.3333333333333333</v>
      </c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71</v>
      </c>
      <c r="C36" s="564" t="s">
        <v>80</v>
      </c>
      <c r="D36" s="561" t="s">
        <v>81</v>
      </c>
      <c r="E36" s="562" t="s">
        <v>82</v>
      </c>
      <c r="F36" s="563" t="n">
        <f>MOD(E36-D36,1)</f>
        <v>0.3333333333333333</v>
      </c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 t="s">
        <v>98</v>
      </c>
      <c r="B37" s="27" t="s">
        <v>73</v>
      </c>
      <c r="C37" s="568" t="s">
        <v>80</v>
      </c>
      <c r="D37" s="565" t="s">
        <v>81</v>
      </c>
      <c r="E37" s="566" t="s">
        <v>82</v>
      </c>
      <c r="F37" s="567" t="n">
        <f>MOD(E37-D37,1)</f>
        <v>0.3333333333333333</v>
      </c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 t="s">
        <v>99</v>
      </c>
      <c r="B38" s="27" t="s">
        <v>57</v>
      </c>
      <c r="C38" s="572" t="s">
        <v>80</v>
      </c>
      <c r="D38" s="569" t="s">
        <v>81</v>
      </c>
      <c r="E38" s="570" t="s">
        <v>82</v>
      </c>
      <c r="F38" s="571" t="n">
        <f>MOD(E38-D38,1)</f>
        <v>0.3333333333333333</v>
      </c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31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574" t="n">
        <f>SUM(F9:F39)</f>
        <v>6.999999999999997</v>
      </c>
      <c r="G40" s="35"/>
      <c r="H40" s="35"/>
      <c r="I40" s="35"/>
      <c r="J40" s="35"/>
      <c r="K40" s="35"/>
      <c r="L40" s="575" t="n">
        <f t="shared" ref="L40:T40" si="1">SUM(L9:L39)</f>
        <v>0.0</v>
      </c>
      <c r="M40" s="576" t="n">
        <f t="shared" si="1">SUM(M9:M39)</f>
        <v>0.0</v>
      </c>
      <c r="N40" s="577" t="n">
        <f t="shared" si="1">SUM(N9:N39)</f>
        <v>0.0</v>
      </c>
      <c r="O40" s="578" t="n">
        <f t="shared" si="1">SUM(O9:O39)</f>
        <v>0.0</v>
      </c>
      <c r="P40" s="579" t="n">
        <f t="shared" si="1">SUM(P9:P39)</f>
        <v>0.0</v>
      </c>
      <c r="Q40" s="580" t="n">
        <f t="shared" si="1">SUM(Q9:Q39)</f>
        <v>0.0</v>
      </c>
      <c r="R40" s="581" t="n">
        <f t="shared" si="1">SUM(R9:R39)</f>
        <v>0.0</v>
      </c>
      <c r="S40" s="582" t="n">
        <f t="shared" si="1">SUM(S9:S39)</f>
        <v>0.0</v>
      </c>
      <c r="T40" s="583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573">
        <v>103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 t="s">
        <v>106</v>
      </c>
      <c r="T4" s="14"/>
      <c r="U4" s="19"/>
      <c r="V4" s="2"/>
      <c r="W4" s="2"/>
      <c r="X4" s="3"/>
    </row>
    <row r="5" ht="21.0" customHeight="1">
      <c r="A5" s="585" t="n">
        <f>SUM(F40,L40:T40)</f>
        <v>6.666666666666664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584" t="s">
        <v>55</v>
      </c>
    </row>
    <row r="9" ht="12.75" customHeight="1">
      <c r="A9" s="27" t="s">
        <v>56</v>
      </c>
      <c r="B9" s="27" t="s">
        <v>60</v>
      </c>
      <c r="C9" s="589" t="s">
        <v>58</v>
      </c>
      <c r="D9" s="586"/>
      <c r="E9" s="587"/>
      <c r="F9" s="588" t="n">
        <f>MOD(E9-D9,1)</f>
        <v>0.0</v>
      </c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63</v>
      </c>
      <c r="C10" s="593" t="s">
        <v>64</v>
      </c>
      <c r="D10" s="590"/>
      <c r="E10" s="591"/>
      <c r="F10" s="592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66</v>
      </c>
      <c r="C11" s="597" t="s">
        <v>58</v>
      </c>
      <c r="D11" s="594"/>
      <c r="E11" s="595"/>
      <c r="F11" s="596" t="n">
        <f>MOD(E11-D11,1)</f>
        <v>0.0</v>
      </c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69</v>
      </c>
      <c r="C12" s="601" t="s">
        <v>80</v>
      </c>
      <c r="D12" s="598" t="s">
        <v>81</v>
      </c>
      <c r="E12" s="599" t="s">
        <v>82</v>
      </c>
      <c r="F12" s="600" t="n">
        <f>MOD(E12-D12,1)</f>
        <v>0.3333333333333333</v>
      </c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71</v>
      </c>
      <c r="C13" s="605" t="s">
        <v>80</v>
      </c>
      <c r="D13" s="602" t="s">
        <v>81</v>
      </c>
      <c r="E13" s="603" t="s">
        <v>82</v>
      </c>
      <c r="F13" s="604" t="n">
        <f>MOD(E13-D13,1)</f>
        <v>0.3333333333333333</v>
      </c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73</v>
      </c>
      <c r="C14" s="609" t="s">
        <v>80</v>
      </c>
      <c r="D14" s="606" t="s">
        <v>81</v>
      </c>
      <c r="E14" s="607" t="s">
        <v>82</v>
      </c>
      <c r="F14" s="608" t="n">
        <f>MOD(E14-D14,1)</f>
        <v>0.3333333333333333</v>
      </c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57</v>
      </c>
      <c r="C15" s="613" t="s">
        <v>80</v>
      </c>
      <c r="D15" s="610" t="s">
        <v>81</v>
      </c>
      <c r="E15" s="611" t="s">
        <v>82</v>
      </c>
      <c r="F15" s="612" t="n">
        <f>MOD(E15-D15,1)</f>
        <v>0.3333333333333333</v>
      </c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60</v>
      </c>
      <c r="C16" s="617" t="s">
        <v>80</v>
      </c>
      <c r="D16" s="614" t="s">
        <v>81</v>
      </c>
      <c r="E16" s="615" t="s">
        <v>82</v>
      </c>
      <c r="F16" s="616" t="n">
        <f>MOD(E16-D16,1)</f>
        <v>0.3333333333333333</v>
      </c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63</v>
      </c>
      <c r="C17" s="621" t="s">
        <v>64</v>
      </c>
      <c r="D17" s="618"/>
      <c r="E17" s="619"/>
      <c r="F17" s="620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66</v>
      </c>
      <c r="C18" s="625" t="s">
        <v>67</v>
      </c>
      <c r="D18" s="622"/>
      <c r="E18" s="623"/>
      <c r="F18" s="624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69</v>
      </c>
      <c r="C19" s="629" t="s">
        <v>80</v>
      </c>
      <c r="D19" s="626" t="s">
        <v>81</v>
      </c>
      <c r="E19" s="627" t="s">
        <v>82</v>
      </c>
      <c r="F19" s="628" t="n">
        <f>MOD(E19-D19,1)</f>
        <v>0.3333333333333333</v>
      </c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71</v>
      </c>
      <c r="C20" s="633" t="s">
        <v>80</v>
      </c>
      <c r="D20" s="630" t="s">
        <v>81</v>
      </c>
      <c r="E20" s="631" t="s">
        <v>82</v>
      </c>
      <c r="F20" s="632" t="n">
        <f>MOD(E20-D20,1)</f>
        <v>0.3333333333333333</v>
      </c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73</v>
      </c>
      <c r="C21" s="637" t="s">
        <v>80</v>
      </c>
      <c r="D21" s="634" t="s">
        <v>81</v>
      </c>
      <c r="E21" s="635" t="s">
        <v>82</v>
      </c>
      <c r="F21" s="636" t="n">
        <f>MOD(E21-D21,1)</f>
        <v>0.3333333333333333</v>
      </c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57</v>
      </c>
      <c r="C22" s="641" t="s">
        <v>80</v>
      </c>
      <c r="D22" s="638" t="s">
        <v>81</v>
      </c>
      <c r="E22" s="639" t="s">
        <v>82</v>
      </c>
      <c r="F22" s="640" t="n">
        <f>MOD(E22-D22,1)</f>
        <v>0.3333333333333333</v>
      </c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60</v>
      </c>
      <c r="C23" s="645" t="s">
        <v>80</v>
      </c>
      <c r="D23" s="642" t="s">
        <v>81</v>
      </c>
      <c r="E23" s="643" t="s">
        <v>82</v>
      </c>
      <c r="F23" s="644" t="n">
        <f>MOD(E23-D23,1)</f>
        <v>0.3333333333333333</v>
      </c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63</v>
      </c>
      <c r="C24" s="649" t="s">
        <v>64</v>
      </c>
      <c r="D24" s="646"/>
      <c r="E24" s="647"/>
      <c r="F24" s="648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66</v>
      </c>
      <c r="C25" s="653" t="s">
        <v>67</v>
      </c>
      <c r="D25" s="650"/>
      <c r="E25" s="651"/>
      <c r="F25" s="652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69</v>
      </c>
      <c r="C26" s="657" t="s">
        <v>80</v>
      </c>
      <c r="D26" s="654" t="s">
        <v>81</v>
      </c>
      <c r="E26" s="655" t="s">
        <v>82</v>
      </c>
      <c r="F26" s="656" t="n">
        <f>MOD(E26-D26,1)</f>
        <v>0.3333333333333333</v>
      </c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71</v>
      </c>
      <c r="C27" s="661" t="s">
        <v>80</v>
      </c>
      <c r="D27" s="658" t="s">
        <v>81</v>
      </c>
      <c r="E27" s="659" t="s">
        <v>82</v>
      </c>
      <c r="F27" s="660" t="n">
        <f>MOD(E27-D27,1)</f>
        <v>0.3333333333333333</v>
      </c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73</v>
      </c>
      <c r="C28" s="665" t="s">
        <v>80</v>
      </c>
      <c r="D28" s="662" t="s">
        <v>81</v>
      </c>
      <c r="E28" s="663" t="s">
        <v>82</v>
      </c>
      <c r="F28" s="664" t="n">
        <f>MOD(E28-D28,1)</f>
        <v>0.3333333333333333</v>
      </c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57</v>
      </c>
      <c r="C29" s="669" t="s">
        <v>80</v>
      </c>
      <c r="D29" s="666" t="s">
        <v>81</v>
      </c>
      <c r="E29" s="667" t="s">
        <v>82</v>
      </c>
      <c r="F29" s="668" t="n">
        <f>MOD(E29-D29,1)</f>
        <v>0.3333333333333333</v>
      </c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60</v>
      </c>
      <c r="C30" s="673" t="s">
        <v>80</v>
      </c>
      <c r="D30" s="670" t="s">
        <v>81</v>
      </c>
      <c r="E30" s="671" t="s">
        <v>82</v>
      </c>
      <c r="F30" s="672" t="n">
        <f>MOD(E30-D30,1)</f>
        <v>0.3333333333333333</v>
      </c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63</v>
      </c>
      <c r="C31" s="677" t="s">
        <v>64</v>
      </c>
      <c r="D31" s="674"/>
      <c r="E31" s="675"/>
      <c r="F31" s="676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7" t="s">
        <v>66</v>
      </c>
      <c r="C32" s="681" t="s">
        <v>67</v>
      </c>
      <c r="D32" s="678"/>
      <c r="E32" s="679"/>
      <c r="F32" s="680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69</v>
      </c>
      <c r="C33" s="685" t="s">
        <v>80</v>
      </c>
      <c r="D33" s="682" t="s">
        <v>81</v>
      </c>
      <c r="E33" s="683" t="s">
        <v>82</v>
      </c>
      <c r="F33" s="684" t="n">
        <f>MOD(E33-D33,1)</f>
        <v>0.3333333333333333</v>
      </c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71</v>
      </c>
      <c r="C34" s="689" t="s">
        <v>80</v>
      </c>
      <c r="D34" s="686" t="s">
        <v>81</v>
      </c>
      <c r="E34" s="687" t="s">
        <v>82</v>
      </c>
      <c r="F34" s="688" t="n">
        <f>MOD(E34-D34,1)</f>
        <v>0.3333333333333333</v>
      </c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73</v>
      </c>
      <c r="C35" s="693" t="s">
        <v>80</v>
      </c>
      <c r="D35" s="690" t="s">
        <v>81</v>
      </c>
      <c r="E35" s="691" t="s">
        <v>82</v>
      </c>
      <c r="F35" s="692" t="n">
        <f>MOD(E35-D35,1)</f>
        <v>0.3333333333333333</v>
      </c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57</v>
      </c>
      <c r="C36" s="697" t="s">
        <v>80</v>
      </c>
      <c r="D36" s="694" t="s">
        <v>81</v>
      </c>
      <c r="E36" s="695" t="s">
        <v>82</v>
      </c>
      <c r="F36" s="696" t="n">
        <f>MOD(E36-D36,1)</f>
        <v>0.3333333333333333</v>
      </c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 t="s">
        <v>98</v>
      </c>
      <c r="B37" s="27" t="s">
        <v>60</v>
      </c>
      <c r="C37" s="701" t="s">
        <v>80</v>
      </c>
      <c r="D37" s="698" t="s">
        <v>81</v>
      </c>
      <c r="E37" s="699" t="s">
        <v>82</v>
      </c>
      <c r="F37" s="700" t="n">
        <f>MOD(E37-D37,1)</f>
        <v>0.3333333333333333</v>
      </c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 t="s">
        <v>99</v>
      </c>
      <c r="B38" s="27" t="s">
        <v>63</v>
      </c>
      <c r="C38" s="705" t="s">
        <v>64</v>
      </c>
      <c r="D38" s="702"/>
      <c r="E38" s="703"/>
      <c r="F38" s="704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 t="s">
        <v>100</v>
      </c>
      <c r="B39" s="27" t="s">
        <v>66</v>
      </c>
      <c r="C39" s="709" t="s">
        <v>67</v>
      </c>
      <c r="D39" s="706"/>
      <c r="E39" s="707"/>
      <c r="F39" s="70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711" t="n">
        <f>SUM(F9:F39)</f>
        <v>6.666666666666664</v>
      </c>
      <c r="G40" s="35"/>
      <c r="H40" s="35"/>
      <c r="I40" s="35"/>
      <c r="J40" s="35"/>
      <c r="K40" s="35"/>
      <c r="L40" s="712" t="n">
        <f t="shared" ref="L40:T40" si="1">SUM(L9:L39)</f>
        <v>0.0</v>
      </c>
      <c r="M40" s="713" t="n">
        <f t="shared" si="1">SUM(M9:M39)</f>
        <v>0.0</v>
      </c>
      <c r="N40" s="714" t="n">
        <f t="shared" si="1">SUM(N9:N39)</f>
        <v>0.0</v>
      </c>
      <c r="O40" s="715" t="n">
        <f t="shared" si="1">SUM(O9:O39)</f>
        <v>0.0</v>
      </c>
      <c r="P40" s="716" t="n">
        <f t="shared" si="1">SUM(P9:P39)</f>
        <v>0.0</v>
      </c>
      <c r="Q40" s="717" t="n">
        <f t="shared" si="1">SUM(Q9:Q39)</f>
        <v>0.0</v>
      </c>
      <c r="R40" s="718" t="n">
        <f t="shared" si="1">SUM(R9:R39)</f>
        <v>0.0</v>
      </c>
      <c r="S40" s="719" t="n">
        <f t="shared" si="1">SUM(S9:S39)</f>
        <v>0.0</v>
      </c>
      <c r="T40" s="720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710">
        <v>103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 t="s">
        <v>107</v>
      </c>
      <c r="T4" s="14"/>
      <c r="U4" s="19"/>
      <c r="V4" s="2"/>
      <c r="W4" s="2"/>
      <c r="X4" s="3"/>
    </row>
    <row r="5" ht="21.0" customHeight="1">
      <c r="A5" s="722" t="n">
        <f>SUM(F40,L40:T40)</f>
        <v>6.999999999999997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721" t="s">
        <v>55</v>
      </c>
    </row>
    <row r="9" ht="12.75" customHeight="1">
      <c r="A9" s="27" t="s">
        <v>56</v>
      </c>
      <c r="B9" s="27" t="s">
        <v>69</v>
      </c>
      <c r="C9" s="726" t="s">
        <v>80</v>
      </c>
      <c r="D9" s="723" t="s">
        <v>81</v>
      </c>
      <c r="E9" s="724" t="s">
        <v>82</v>
      </c>
      <c r="F9" s="725" t="n">
        <f>MOD(E9-D9,1)</f>
        <v>0.3333333333333333</v>
      </c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71</v>
      </c>
      <c r="C10" s="730" t="s">
        <v>80</v>
      </c>
      <c r="D10" s="727" t="s">
        <v>81</v>
      </c>
      <c r="E10" s="728" t="s">
        <v>82</v>
      </c>
      <c r="F10" s="729" t="n">
        <f>MOD(E10-D10,1)</f>
        <v>0.3333333333333333</v>
      </c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73</v>
      </c>
      <c r="C11" s="734" t="s">
        <v>80</v>
      </c>
      <c r="D11" s="731" t="s">
        <v>81</v>
      </c>
      <c r="E11" s="732" t="s">
        <v>82</v>
      </c>
      <c r="F11" s="733" t="n">
        <f>MOD(E11-D11,1)</f>
        <v>0.3333333333333333</v>
      </c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57</v>
      </c>
      <c r="C12" s="738" t="s">
        <v>58</v>
      </c>
      <c r="D12" s="735"/>
      <c r="E12" s="736"/>
      <c r="F12" s="737" t="n">
        <f>MOD(E12-D12,1)</f>
        <v>0.0</v>
      </c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60</v>
      </c>
      <c r="C13" s="742" t="s">
        <v>80</v>
      </c>
      <c r="D13" s="739" t="s">
        <v>81</v>
      </c>
      <c r="E13" s="740" t="s">
        <v>82</v>
      </c>
      <c r="F13" s="741" t="n">
        <f>MOD(E13-D13,1)</f>
        <v>0.3333333333333333</v>
      </c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63</v>
      </c>
      <c r="C14" s="746" t="s">
        <v>64</v>
      </c>
      <c r="D14" s="743"/>
      <c r="E14" s="744"/>
      <c r="F14" s="745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66</v>
      </c>
      <c r="C15" s="750" t="s">
        <v>67</v>
      </c>
      <c r="D15" s="747"/>
      <c r="E15" s="748"/>
      <c r="F15" s="749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69</v>
      </c>
      <c r="C16" s="754" t="s">
        <v>80</v>
      </c>
      <c r="D16" s="751" t="s">
        <v>81</v>
      </c>
      <c r="E16" s="752" t="s">
        <v>82</v>
      </c>
      <c r="F16" s="753" t="n">
        <f>MOD(E16-D16,1)</f>
        <v>0.3333333333333333</v>
      </c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71</v>
      </c>
      <c r="C17" s="758" t="s">
        <v>80</v>
      </c>
      <c r="D17" s="755" t="s">
        <v>81</v>
      </c>
      <c r="E17" s="756" t="s">
        <v>82</v>
      </c>
      <c r="F17" s="757" t="n">
        <f>MOD(E17-D17,1)</f>
        <v>0.3333333333333333</v>
      </c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73</v>
      </c>
      <c r="C18" s="762" t="s">
        <v>80</v>
      </c>
      <c r="D18" s="759" t="s">
        <v>81</v>
      </c>
      <c r="E18" s="760" t="s">
        <v>82</v>
      </c>
      <c r="F18" s="761" t="n">
        <f>MOD(E18-D18,1)</f>
        <v>0.3333333333333333</v>
      </c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57</v>
      </c>
      <c r="C19" s="766" t="s">
        <v>80</v>
      </c>
      <c r="D19" s="763" t="s">
        <v>81</v>
      </c>
      <c r="E19" s="764" t="s">
        <v>82</v>
      </c>
      <c r="F19" s="765" t="n">
        <f>MOD(E19-D19,1)</f>
        <v>0.3333333333333333</v>
      </c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60</v>
      </c>
      <c r="C20" s="770" t="s">
        <v>80</v>
      </c>
      <c r="D20" s="767" t="s">
        <v>81</v>
      </c>
      <c r="E20" s="768" t="s">
        <v>82</v>
      </c>
      <c r="F20" s="769" t="n">
        <f>MOD(E20-D20,1)</f>
        <v>0.3333333333333333</v>
      </c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63</v>
      </c>
      <c r="C21" s="774" t="s">
        <v>64</v>
      </c>
      <c r="D21" s="771"/>
      <c r="E21" s="772"/>
      <c r="F21" s="773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66</v>
      </c>
      <c r="C22" s="778" t="s">
        <v>67</v>
      </c>
      <c r="D22" s="775"/>
      <c r="E22" s="776"/>
      <c r="F22" s="777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69</v>
      </c>
      <c r="C23" s="782" t="s">
        <v>80</v>
      </c>
      <c r="D23" s="779" t="s">
        <v>81</v>
      </c>
      <c r="E23" s="780" t="s">
        <v>82</v>
      </c>
      <c r="F23" s="781" t="n">
        <f>MOD(E23-D23,1)</f>
        <v>0.3333333333333333</v>
      </c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71</v>
      </c>
      <c r="C24" s="786" t="s">
        <v>80</v>
      </c>
      <c r="D24" s="783" t="s">
        <v>81</v>
      </c>
      <c r="E24" s="784" t="s">
        <v>82</v>
      </c>
      <c r="F24" s="785" t="n">
        <f>MOD(E24-D24,1)</f>
        <v>0.3333333333333333</v>
      </c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73</v>
      </c>
      <c r="C25" s="790" t="s">
        <v>80</v>
      </c>
      <c r="D25" s="787" t="s">
        <v>81</v>
      </c>
      <c r="E25" s="788" t="s">
        <v>82</v>
      </c>
      <c r="F25" s="789" t="n">
        <f>MOD(E25-D25,1)</f>
        <v>0.3333333333333333</v>
      </c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57</v>
      </c>
      <c r="C26" s="794" t="s">
        <v>80</v>
      </c>
      <c r="D26" s="791" t="s">
        <v>81</v>
      </c>
      <c r="E26" s="792" t="s">
        <v>82</v>
      </c>
      <c r="F26" s="793" t="n">
        <f>MOD(E26-D26,1)</f>
        <v>0.3333333333333333</v>
      </c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60</v>
      </c>
      <c r="C27" s="798" t="s">
        <v>80</v>
      </c>
      <c r="D27" s="795" t="s">
        <v>81</v>
      </c>
      <c r="E27" s="796" t="s">
        <v>82</v>
      </c>
      <c r="F27" s="797" t="n">
        <f>MOD(E27-D27,1)</f>
        <v>0.3333333333333333</v>
      </c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63</v>
      </c>
      <c r="C28" s="802" t="s">
        <v>64</v>
      </c>
      <c r="D28" s="799"/>
      <c r="E28" s="800"/>
      <c r="F28" s="801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66</v>
      </c>
      <c r="C29" s="806" t="s">
        <v>67</v>
      </c>
      <c r="D29" s="803"/>
      <c r="E29" s="804"/>
      <c r="F29" s="805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69</v>
      </c>
      <c r="C30" s="810" t="s">
        <v>80</v>
      </c>
      <c r="D30" s="807" t="s">
        <v>81</v>
      </c>
      <c r="E30" s="808" t="s">
        <v>82</v>
      </c>
      <c r="F30" s="809" t="n">
        <f>MOD(E30-D30,1)</f>
        <v>0.3333333333333333</v>
      </c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71</v>
      </c>
      <c r="C31" s="814" t="s">
        <v>80</v>
      </c>
      <c r="D31" s="811" t="s">
        <v>81</v>
      </c>
      <c r="E31" s="812" t="s">
        <v>82</v>
      </c>
      <c r="F31" s="813" t="n">
        <f>MOD(E31-D31,1)</f>
        <v>0.3333333333333333</v>
      </c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7" t="s">
        <v>73</v>
      </c>
      <c r="C32" s="818" t="s">
        <v>80</v>
      </c>
      <c r="D32" s="815" t="s">
        <v>81</v>
      </c>
      <c r="E32" s="816" t="s">
        <v>82</v>
      </c>
      <c r="F32" s="817" t="n">
        <f>MOD(E32-D32,1)</f>
        <v>0.3333333333333333</v>
      </c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57</v>
      </c>
      <c r="C33" s="822" t="s">
        <v>80</v>
      </c>
      <c r="D33" s="819" t="s">
        <v>81</v>
      </c>
      <c r="E33" s="820" t="s">
        <v>82</v>
      </c>
      <c r="F33" s="821" t="n">
        <f>MOD(E33-D33,1)</f>
        <v>0.3333333333333333</v>
      </c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60</v>
      </c>
      <c r="C34" s="826" t="s">
        <v>80</v>
      </c>
      <c r="D34" s="823" t="s">
        <v>81</v>
      </c>
      <c r="E34" s="824" t="s">
        <v>82</v>
      </c>
      <c r="F34" s="825" t="n">
        <f>MOD(E34-D34,1)</f>
        <v>0.3333333333333333</v>
      </c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63</v>
      </c>
      <c r="C35" s="830" t="s">
        <v>64</v>
      </c>
      <c r="D35" s="827"/>
      <c r="E35" s="828"/>
      <c r="F35" s="829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66</v>
      </c>
      <c r="C36" s="834" t="s">
        <v>67</v>
      </c>
      <c r="D36" s="831"/>
      <c r="E36" s="832"/>
      <c r="F36" s="833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 t="s">
        <v>98</v>
      </c>
      <c r="B37" s="27" t="s">
        <v>69</v>
      </c>
      <c r="C37" s="838" t="s">
        <v>80</v>
      </c>
      <c r="D37" s="835" t="s">
        <v>81</v>
      </c>
      <c r="E37" s="836" t="s">
        <v>82</v>
      </c>
      <c r="F37" s="837" t="n">
        <f>MOD(E37-D37,1)</f>
        <v>0.3333333333333333</v>
      </c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 t="s">
        <v>99</v>
      </c>
      <c r="B38" s="27" t="s">
        <v>71</v>
      </c>
      <c r="C38" s="842" t="s">
        <v>80</v>
      </c>
      <c r="D38" s="839" t="s">
        <v>81</v>
      </c>
      <c r="E38" s="840" t="s">
        <v>82</v>
      </c>
      <c r="F38" s="841" t="n">
        <f>MOD(E38-D38,1)</f>
        <v>0.3333333333333333</v>
      </c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27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844" t="n">
        <f>SUM(F9:F39)</f>
        <v>6.999999999999997</v>
      </c>
      <c r="G40" s="35"/>
      <c r="H40" s="35"/>
      <c r="I40" s="35"/>
      <c r="J40" s="35"/>
      <c r="K40" s="35"/>
      <c r="L40" s="845" t="n">
        <f t="shared" ref="L40:T40" si="1">SUM(L9:L39)</f>
        <v>0.0</v>
      </c>
      <c r="M40" s="846" t="n">
        <f t="shared" si="1">SUM(M9:M39)</f>
        <v>0.0</v>
      </c>
      <c r="N40" s="847" t="n">
        <f t="shared" si="1">SUM(N9:N39)</f>
        <v>0.0</v>
      </c>
      <c r="O40" s="848" t="n">
        <f t="shared" si="1">SUM(O9:O39)</f>
        <v>0.0</v>
      </c>
      <c r="P40" s="849" t="n">
        <f t="shared" si="1">SUM(P9:P39)</f>
        <v>0.0</v>
      </c>
      <c r="Q40" s="850" t="n">
        <f t="shared" si="1">SUM(Q9:Q39)</f>
        <v>0.0</v>
      </c>
      <c r="R40" s="851" t="n">
        <f t="shared" si="1">SUM(R9:R39)</f>
        <v>0.0</v>
      </c>
      <c r="S40" s="852" t="n">
        <f t="shared" si="1">SUM(S9:S39)</f>
        <v>0.0</v>
      </c>
      <c r="T40" s="853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843">
        <v>103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 t="s">
        <v>108</v>
      </c>
      <c r="T4" s="14"/>
      <c r="U4" s="19"/>
      <c r="V4" s="2"/>
      <c r="W4" s="2"/>
      <c r="X4" s="3"/>
    </row>
    <row r="5" ht="21.0" customHeight="1">
      <c r="A5" s="855" t="n">
        <f>SUM(F40,L40:T40)</f>
        <v>7.666666666666663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854" t="s">
        <v>55</v>
      </c>
    </row>
    <row r="9" ht="12.75" customHeight="1">
      <c r="A9" s="27" t="s">
        <v>56</v>
      </c>
      <c r="B9" s="27" t="s">
        <v>73</v>
      </c>
      <c r="C9" s="859" t="s">
        <v>80</v>
      </c>
      <c r="D9" s="856" t="s">
        <v>81</v>
      </c>
      <c r="E9" s="857" t="s">
        <v>82</v>
      </c>
      <c r="F9" s="858" t="n">
        <f>MOD(E9-D9,1)</f>
        <v>0.3333333333333333</v>
      </c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57</v>
      </c>
      <c r="C10" s="863" t="s">
        <v>80</v>
      </c>
      <c r="D10" s="860" t="s">
        <v>81</v>
      </c>
      <c r="E10" s="861" t="s">
        <v>82</v>
      </c>
      <c r="F10" s="862" t="n">
        <f>MOD(E10-D10,1)</f>
        <v>0.3333333333333333</v>
      </c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60</v>
      </c>
      <c r="C11" s="867" t="s">
        <v>80</v>
      </c>
      <c r="D11" s="864" t="s">
        <v>81</v>
      </c>
      <c r="E11" s="865" t="s">
        <v>82</v>
      </c>
      <c r="F11" s="866" t="n">
        <f>MOD(E11-D11,1)</f>
        <v>0.3333333333333333</v>
      </c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63</v>
      </c>
      <c r="C12" s="871" t="s">
        <v>64</v>
      </c>
      <c r="D12" s="868"/>
      <c r="E12" s="869"/>
      <c r="F12" s="870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66</v>
      </c>
      <c r="C13" s="875" t="s">
        <v>67</v>
      </c>
      <c r="D13" s="872"/>
      <c r="E13" s="873"/>
      <c r="F13" s="874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69</v>
      </c>
      <c r="C14" s="879" t="s">
        <v>80</v>
      </c>
      <c r="D14" s="876" t="s">
        <v>81</v>
      </c>
      <c r="E14" s="877" t="s">
        <v>82</v>
      </c>
      <c r="F14" s="878" t="n">
        <f>MOD(E14-D14,1)</f>
        <v>0.3333333333333333</v>
      </c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71</v>
      </c>
      <c r="C15" s="883" t="s">
        <v>80</v>
      </c>
      <c r="D15" s="880" t="s">
        <v>81</v>
      </c>
      <c r="E15" s="881" t="s">
        <v>82</v>
      </c>
      <c r="F15" s="882" t="n">
        <f>MOD(E15-D15,1)</f>
        <v>0.3333333333333333</v>
      </c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73</v>
      </c>
      <c r="C16" s="887" t="s">
        <v>80</v>
      </c>
      <c r="D16" s="884" t="s">
        <v>81</v>
      </c>
      <c r="E16" s="885" t="s">
        <v>82</v>
      </c>
      <c r="F16" s="886" t="n">
        <f>MOD(E16-D16,1)</f>
        <v>0.3333333333333333</v>
      </c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57</v>
      </c>
      <c r="C17" s="891" t="s">
        <v>80</v>
      </c>
      <c r="D17" s="888" t="s">
        <v>81</v>
      </c>
      <c r="E17" s="889" t="s">
        <v>82</v>
      </c>
      <c r="F17" s="890" t="n">
        <f>MOD(E17-D17,1)</f>
        <v>0.3333333333333333</v>
      </c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60</v>
      </c>
      <c r="C18" s="895" t="s">
        <v>80</v>
      </c>
      <c r="D18" s="892" t="s">
        <v>81</v>
      </c>
      <c r="E18" s="893" t="s">
        <v>82</v>
      </c>
      <c r="F18" s="894" t="n">
        <f>MOD(E18-D18,1)</f>
        <v>0.3333333333333333</v>
      </c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63</v>
      </c>
      <c r="C19" s="899" t="s">
        <v>64</v>
      </c>
      <c r="D19" s="896"/>
      <c r="E19" s="897"/>
      <c r="F19" s="898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66</v>
      </c>
      <c r="C20" s="903" t="s">
        <v>67</v>
      </c>
      <c r="D20" s="900"/>
      <c r="E20" s="901"/>
      <c r="F20" s="902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69</v>
      </c>
      <c r="C21" s="907" t="s">
        <v>80</v>
      </c>
      <c r="D21" s="904" t="s">
        <v>81</v>
      </c>
      <c r="E21" s="905" t="s">
        <v>82</v>
      </c>
      <c r="F21" s="906" t="n">
        <f>MOD(E21-D21,1)</f>
        <v>0.3333333333333333</v>
      </c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71</v>
      </c>
      <c r="C22" s="911" t="s">
        <v>80</v>
      </c>
      <c r="D22" s="908" t="s">
        <v>81</v>
      </c>
      <c r="E22" s="909" t="s">
        <v>82</v>
      </c>
      <c r="F22" s="910" t="n">
        <f>MOD(E22-D22,1)</f>
        <v>0.3333333333333333</v>
      </c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73</v>
      </c>
      <c r="C23" s="915" t="s">
        <v>80</v>
      </c>
      <c r="D23" s="912" t="s">
        <v>81</v>
      </c>
      <c r="E23" s="913" t="s">
        <v>82</v>
      </c>
      <c r="F23" s="914" t="n">
        <f>MOD(E23-D23,1)</f>
        <v>0.3333333333333333</v>
      </c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57</v>
      </c>
      <c r="C24" s="919" t="s">
        <v>80</v>
      </c>
      <c r="D24" s="916" t="s">
        <v>81</v>
      </c>
      <c r="E24" s="917" t="s">
        <v>82</v>
      </c>
      <c r="F24" s="918" t="n">
        <f>MOD(E24-D24,1)</f>
        <v>0.3333333333333333</v>
      </c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60</v>
      </c>
      <c r="C25" s="923" t="s">
        <v>80</v>
      </c>
      <c r="D25" s="920" t="s">
        <v>81</v>
      </c>
      <c r="E25" s="921" t="s">
        <v>82</v>
      </c>
      <c r="F25" s="922" t="n">
        <f>MOD(E25-D25,1)</f>
        <v>0.3333333333333333</v>
      </c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63</v>
      </c>
      <c r="C26" s="927" t="s">
        <v>64</v>
      </c>
      <c r="D26" s="924"/>
      <c r="E26" s="925"/>
      <c r="F26" s="926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66</v>
      </c>
      <c r="C27" s="931" t="s">
        <v>67</v>
      </c>
      <c r="D27" s="928"/>
      <c r="E27" s="929"/>
      <c r="F27" s="930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69</v>
      </c>
      <c r="C28" s="935" t="s">
        <v>80</v>
      </c>
      <c r="D28" s="932" t="s">
        <v>81</v>
      </c>
      <c r="E28" s="933" t="s">
        <v>82</v>
      </c>
      <c r="F28" s="934" t="n">
        <f>MOD(E28-D28,1)</f>
        <v>0.3333333333333333</v>
      </c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71</v>
      </c>
      <c r="C29" s="939" t="s">
        <v>80</v>
      </c>
      <c r="D29" s="936" t="s">
        <v>81</v>
      </c>
      <c r="E29" s="937" t="s">
        <v>82</v>
      </c>
      <c r="F29" s="938" t="n">
        <f>MOD(E29-D29,1)</f>
        <v>0.3333333333333333</v>
      </c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73</v>
      </c>
      <c r="C30" s="943" t="s">
        <v>80</v>
      </c>
      <c r="D30" s="940" t="s">
        <v>81</v>
      </c>
      <c r="E30" s="941" t="s">
        <v>82</v>
      </c>
      <c r="F30" s="942" t="n">
        <f>MOD(E30-D30,1)</f>
        <v>0.3333333333333333</v>
      </c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57</v>
      </c>
      <c r="C31" s="947" t="s">
        <v>80</v>
      </c>
      <c r="D31" s="944" t="s">
        <v>81</v>
      </c>
      <c r="E31" s="945" t="s">
        <v>82</v>
      </c>
      <c r="F31" s="946" t="n">
        <f>MOD(E31-D31,1)</f>
        <v>0.3333333333333333</v>
      </c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7" t="s">
        <v>60</v>
      </c>
      <c r="C32" s="951" t="s">
        <v>80</v>
      </c>
      <c r="D32" s="948" t="s">
        <v>81</v>
      </c>
      <c r="E32" s="949" t="s">
        <v>82</v>
      </c>
      <c r="F32" s="950" t="n">
        <f>MOD(E32-D32,1)</f>
        <v>0.3333333333333333</v>
      </c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63</v>
      </c>
      <c r="C33" s="955" t="s">
        <v>64</v>
      </c>
      <c r="D33" s="952"/>
      <c r="E33" s="953"/>
      <c r="F33" s="954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66</v>
      </c>
      <c r="C34" s="959" t="s">
        <v>67</v>
      </c>
      <c r="D34" s="956"/>
      <c r="E34" s="957"/>
      <c r="F34" s="958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69</v>
      </c>
      <c r="C35" s="963" t="s">
        <v>80</v>
      </c>
      <c r="D35" s="960" t="s">
        <v>81</v>
      </c>
      <c r="E35" s="961" t="s">
        <v>82</v>
      </c>
      <c r="F35" s="962" t="n">
        <f>MOD(E35-D35,1)</f>
        <v>0.3333333333333333</v>
      </c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71</v>
      </c>
      <c r="C36" s="967" t="s">
        <v>80</v>
      </c>
      <c r="D36" s="964" t="s">
        <v>81</v>
      </c>
      <c r="E36" s="965" t="s">
        <v>82</v>
      </c>
      <c r="F36" s="966" t="n">
        <f>MOD(E36-D36,1)</f>
        <v>0.3333333333333333</v>
      </c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 t="s">
        <v>98</v>
      </c>
      <c r="B37" s="27" t="s">
        <v>73</v>
      </c>
      <c r="C37" s="971" t="s">
        <v>80</v>
      </c>
      <c r="D37" s="968" t="s">
        <v>81</v>
      </c>
      <c r="E37" s="969" t="s">
        <v>82</v>
      </c>
      <c r="F37" s="970" t="n">
        <f>MOD(E37-D37,1)</f>
        <v>0.3333333333333333</v>
      </c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 t="s">
        <v>99</v>
      </c>
      <c r="B38" s="27" t="s">
        <v>57</v>
      </c>
      <c r="C38" s="975" t="s">
        <v>80</v>
      </c>
      <c r="D38" s="972" t="s">
        <v>81</v>
      </c>
      <c r="E38" s="973" t="s">
        <v>82</v>
      </c>
      <c r="F38" s="974" t="n">
        <f>MOD(E38-D38,1)</f>
        <v>0.3333333333333333</v>
      </c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 t="s">
        <v>100</v>
      </c>
      <c r="B39" s="27" t="s">
        <v>60</v>
      </c>
      <c r="C39" s="979" t="s">
        <v>80</v>
      </c>
      <c r="D39" s="976" t="s">
        <v>81</v>
      </c>
      <c r="E39" s="977" t="s">
        <v>82</v>
      </c>
      <c r="F39" s="978" t="n">
        <f>MOD(E39-D39,1)</f>
        <v>0.3333333333333333</v>
      </c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981" t="n">
        <f>SUM(F9:F39)</f>
        <v>7.666666666666663</v>
      </c>
      <c r="G40" s="35"/>
      <c r="H40" s="35"/>
      <c r="I40" s="35"/>
      <c r="J40" s="35"/>
      <c r="K40" s="35"/>
      <c r="L40" s="982" t="n">
        <f t="shared" ref="L40:T40" si="1">SUM(L9:L39)</f>
        <v>0.0</v>
      </c>
      <c r="M40" s="983" t="n">
        <f t="shared" si="1">SUM(M9:M39)</f>
        <v>0.0</v>
      </c>
      <c r="N40" s="984" t="n">
        <f t="shared" si="1">SUM(N9:N39)</f>
        <v>0.0</v>
      </c>
      <c r="O40" s="985" t="n">
        <f t="shared" si="1">SUM(O9:O39)</f>
        <v>0.0</v>
      </c>
      <c r="P40" s="986" t="n">
        <f t="shared" si="1">SUM(P9:P39)</f>
        <v>0.0</v>
      </c>
      <c r="Q40" s="987" t="n">
        <f t="shared" si="1">SUM(Q9:Q39)</f>
        <v>0.0</v>
      </c>
      <c r="R40" s="988" t="n">
        <f t="shared" si="1">SUM(R9:R39)</f>
        <v>0.0</v>
      </c>
      <c r="S40" s="989" t="n">
        <f t="shared" si="1">SUM(S9:S39)</f>
        <v>0.0</v>
      </c>
      <c r="T40" s="990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980">
        <v>103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49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 t="s">
        <v>109</v>
      </c>
      <c r="T4" s="14"/>
      <c r="U4" s="19"/>
      <c r="V4" s="2"/>
      <c r="W4" s="2"/>
      <c r="X4" s="3"/>
    </row>
    <row r="5" ht="21.0" customHeight="1">
      <c r="A5" s="992" t="n">
        <f>SUM(F40,L40:T40)</f>
        <v>6.999999999999997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991" t="s">
        <v>55</v>
      </c>
    </row>
    <row r="9" ht="12.75" customHeight="1">
      <c r="A9" s="27" t="s">
        <v>56</v>
      </c>
      <c r="B9" s="27" t="s">
        <v>63</v>
      </c>
      <c r="C9" s="996" t="s">
        <v>64</v>
      </c>
      <c r="D9" s="993"/>
      <c r="E9" s="994"/>
      <c r="F9" s="995"/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66</v>
      </c>
      <c r="C10" s="1000" t="s">
        <v>67</v>
      </c>
      <c r="D10" s="997"/>
      <c r="E10" s="998"/>
      <c r="F10" s="999"/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69</v>
      </c>
      <c r="C11" s="1004" t="s">
        <v>80</v>
      </c>
      <c r="D11" s="1001" t="s">
        <v>81</v>
      </c>
      <c r="E11" s="1002" t="s">
        <v>82</v>
      </c>
      <c r="F11" s="1003" t="n">
        <f>MOD(E11-D11,1)</f>
        <v>0.3333333333333333</v>
      </c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71</v>
      </c>
      <c r="C12" s="1008" t="s">
        <v>80</v>
      </c>
      <c r="D12" s="1005" t="s">
        <v>81</v>
      </c>
      <c r="E12" s="1006" t="s">
        <v>82</v>
      </c>
      <c r="F12" s="1007" t="n">
        <f>MOD(E12-D12,1)</f>
        <v>0.3333333333333333</v>
      </c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73</v>
      </c>
      <c r="C13" s="1012" t="s">
        <v>80</v>
      </c>
      <c r="D13" s="1009" t="s">
        <v>81</v>
      </c>
      <c r="E13" s="1010" t="s">
        <v>82</v>
      </c>
      <c r="F13" s="1011" t="n">
        <f>MOD(E13-D13,1)</f>
        <v>0.3333333333333333</v>
      </c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57</v>
      </c>
      <c r="C14" s="1016" t="s">
        <v>80</v>
      </c>
      <c r="D14" s="1013" t="s">
        <v>81</v>
      </c>
      <c r="E14" s="1014" t="s">
        <v>82</v>
      </c>
      <c r="F14" s="1015" t="n">
        <f>MOD(E14-D14,1)</f>
        <v>0.3333333333333333</v>
      </c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60</v>
      </c>
      <c r="C15" s="1020" t="s">
        <v>80</v>
      </c>
      <c r="D15" s="1017" t="s">
        <v>81</v>
      </c>
      <c r="E15" s="1018" t="s">
        <v>82</v>
      </c>
      <c r="F15" s="1019" t="n">
        <f>MOD(E15-D15,1)</f>
        <v>0.3333333333333333</v>
      </c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63</v>
      </c>
      <c r="C16" s="1024" t="s">
        <v>64</v>
      </c>
      <c r="D16" s="1021"/>
      <c r="E16" s="1022"/>
      <c r="F16" s="1023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66</v>
      </c>
      <c r="C17" s="1028" t="s">
        <v>67</v>
      </c>
      <c r="D17" s="1025"/>
      <c r="E17" s="1026"/>
      <c r="F17" s="1027"/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69</v>
      </c>
      <c r="C18" s="1032" t="s">
        <v>80</v>
      </c>
      <c r="D18" s="1029" t="s">
        <v>81</v>
      </c>
      <c r="E18" s="1030" t="s">
        <v>82</v>
      </c>
      <c r="F18" s="1031" t="n">
        <f>MOD(E18-D18,1)</f>
        <v>0.3333333333333333</v>
      </c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71</v>
      </c>
      <c r="C19" s="1036" t="s">
        <v>80</v>
      </c>
      <c r="D19" s="1033" t="s">
        <v>81</v>
      </c>
      <c r="E19" s="1034" t="s">
        <v>82</v>
      </c>
      <c r="F19" s="1035" t="n">
        <f>MOD(E19-D19,1)</f>
        <v>0.3333333333333333</v>
      </c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73</v>
      </c>
      <c r="C20" s="1040" t="s">
        <v>80</v>
      </c>
      <c r="D20" s="1037" t="s">
        <v>81</v>
      </c>
      <c r="E20" s="1038" t="s">
        <v>82</v>
      </c>
      <c r="F20" s="1039" t="n">
        <f>MOD(E20-D20,1)</f>
        <v>0.3333333333333333</v>
      </c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57</v>
      </c>
      <c r="C21" s="1044" t="s">
        <v>80</v>
      </c>
      <c r="D21" s="1041" t="s">
        <v>81</v>
      </c>
      <c r="E21" s="1042" t="s">
        <v>82</v>
      </c>
      <c r="F21" s="1043" t="n">
        <f>MOD(E21-D21,1)</f>
        <v>0.3333333333333333</v>
      </c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60</v>
      </c>
      <c r="C22" s="1048" t="s">
        <v>80</v>
      </c>
      <c r="D22" s="1045" t="s">
        <v>81</v>
      </c>
      <c r="E22" s="1046" t="s">
        <v>82</v>
      </c>
      <c r="F22" s="1047" t="n">
        <f>MOD(E22-D22,1)</f>
        <v>0.3333333333333333</v>
      </c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63</v>
      </c>
      <c r="C23" s="1052" t="s">
        <v>58</v>
      </c>
      <c r="D23" s="1049"/>
      <c r="E23" s="1050"/>
      <c r="F23" s="1051" t="n">
        <f>MOD(E23-D23,1)</f>
        <v>0.0</v>
      </c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66</v>
      </c>
      <c r="C24" s="1056" t="s">
        <v>67</v>
      </c>
      <c r="D24" s="1053"/>
      <c r="E24" s="1054"/>
      <c r="F24" s="1055"/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69</v>
      </c>
      <c r="C25" s="1060" t="s">
        <v>80</v>
      </c>
      <c r="D25" s="1057" t="s">
        <v>81</v>
      </c>
      <c r="E25" s="1058" t="s">
        <v>82</v>
      </c>
      <c r="F25" s="1059" t="n">
        <f>MOD(E25-D25,1)</f>
        <v>0.3333333333333333</v>
      </c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71</v>
      </c>
      <c r="C26" s="1064" t="s">
        <v>80</v>
      </c>
      <c r="D26" s="1061" t="s">
        <v>81</v>
      </c>
      <c r="E26" s="1062" t="s">
        <v>82</v>
      </c>
      <c r="F26" s="1063" t="n">
        <f>MOD(E26-D26,1)</f>
        <v>0.3333333333333333</v>
      </c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73</v>
      </c>
      <c r="C27" s="1068" t="s">
        <v>80</v>
      </c>
      <c r="D27" s="1065" t="s">
        <v>81</v>
      </c>
      <c r="E27" s="1066" t="s">
        <v>82</v>
      </c>
      <c r="F27" s="1067" t="n">
        <f>MOD(E27-D27,1)</f>
        <v>0.3333333333333333</v>
      </c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57</v>
      </c>
      <c r="C28" s="1072" t="s">
        <v>80</v>
      </c>
      <c r="D28" s="1069" t="s">
        <v>81</v>
      </c>
      <c r="E28" s="1070" t="s">
        <v>82</v>
      </c>
      <c r="F28" s="1071" t="n">
        <f>MOD(E28-D28,1)</f>
        <v>0.3333333333333333</v>
      </c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60</v>
      </c>
      <c r="C29" s="1076" t="s">
        <v>80</v>
      </c>
      <c r="D29" s="1073" t="s">
        <v>81</v>
      </c>
      <c r="E29" s="1074" t="s">
        <v>82</v>
      </c>
      <c r="F29" s="1075" t="n">
        <f>MOD(E29-D29,1)</f>
        <v>0.3333333333333333</v>
      </c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63</v>
      </c>
      <c r="C30" s="1080" t="s">
        <v>64</v>
      </c>
      <c r="D30" s="1077"/>
      <c r="E30" s="1078"/>
      <c r="F30" s="1079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66</v>
      </c>
      <c r="C31" s="1084" t="s">
        <v>67</v>
      </c>
      <c r="D31" s="1081"/>
      <c r="E31" s="1082"/>
      <c r="F31" s="1083"/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7" t="s">
        <v>69</v>
      </c>
      <c r="C32" s="1088" t="s">
        <v>80</v>
      </c>
      <c r="D32" s="1085" t="s">
        <v>81</v>
      </c>
      <c r="E32" s="1086" t="s">
        <v>82</v>
      </c>
      <c r="F32" s="1087" t="n">
        <f>MOD(E32-D32,1)</f>
        <v>0.3333333333333333</v>
      </c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71</v>
      </c>
      <c r="C33" s="1092" t="s">
        <v>80</v>
      </c>
      <c r="D33" s="1089" t="s">
        <v>81</v>
      </c>
      <c r="E33" s="1090" t="s">
        <v>82</v>
      </c>
      <c r="F33" s="1091" t="n">
        <f>MOD(E33-D33,1)</f>
        <v>0.3333333333333333</v>
      </c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73</v>
      </c>
      <c r="C34" s="1096" t="s">
        <v>80</v>
      </c>
      <c r="D34" s="1093" t="s">
        <v>81</v>
      </c>
      <c r="E34" s="1094" t="s">
        <v>82</v>
      </c>
      <c r="F34" s="1095" t="n">
        <f>MOD(E34-D34,1)</f>
        <v>0.3333333333333333</v>
      </c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57</v>
      </c>
      <c r="C35" s="1100" t="s">
        <v>80</v>
      </c>
      <c r="D35" s="1097" t="s">
        <v>81</v>
      </c>
      <c r="E35" s="1098" t="s">
        <v>82</v>
      </c>
      <c r="F35" s="1099" t="n">
        <f>MOD(E35-D35,1)</f>
        <v>0.3333333333333333</v>
      </c>
      <c r="G35" s="27"/>
      <c r="H35" s="27"/>
      <c r="I35" s="27"/>
      <c r="J35" s="27"/>
      <c r="K35" s="27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60</v>
      </c>
      <c r="C36" s="1104" t="s">
        <v>80</v>
      </c>
      <c r="D36" s="1101" t="s">
        <v>81</v>
      </c>
      <c r="E36" s="1102" t="s">
        <v>82</v>
      </c>
      <c r="F36" s="1103" t="n">
        <f>MOD(E36-D36,1)</f>
        <v>0.3333333333333333</v>
      </c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 t="s">
        <v>98</v>
      </c>
      <c r="B37" s="27" t="s">
        <v>63</v>
      </c>
      <c r="C37" s="1108" t="s">
        <v>64</v>
      </c>
      <c r="D37" s="1105"/>
      <c r="E37" s="1106"/>
      <c r="F37" s="1107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 t="s">
        <v>99</v>
      </c>
      <c r="B38" s="27" t="s">
        <v>66</v>
      </c>
      <c r="C38" s="1112" t="s">
        <v>67</v>
      </c>
      <c r="D38" s="1109"/>
      <c r="E38" s="1110"/>
      <c r="F38" s="1111"/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 t="s">
        <v>100</v>
      </c>
      <c r="B39" s="27" t="s">
        <v>69</v>
      </c>
      <c r="C39" s="1116" t="s">
        <v>80</v>
      </c>
      <c r="D39" s="1113" t="s">
        <v>81</v>
      </c>
      <c r="E39" s="1114" t="s">
        <v>82</v>
      </c>
      <c r="F39" s="1115" t="n">
        <f>MOD(E39-D39,1)</f>
        <v>0.3333333333333333</v>
      </c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1118" t="n">
        <f>SUM(F9:F39)</f>
        <v>6.999999999999997</v>
      </c>
      <c r="G40" s="35"/>
      <c r="H40" s="35"/>
      <c r="I40" s="35"/>
      <c r="J40" s="35"/>
      <c r="K40" s="35"/>
      <c r="L40" s="1119" t="n">
        <f>SUM(L9:L39)</f>
        <v>0.0</v>
      </c>
      <c r="M40" s="1120" t="n">
        <f t="shared" ref="M40:T40" si="1">SUM(M9:M39)</f>
        <v>0.0</v>
      </c>
      <c r="N40" s="1121" t="n">
        <f t="shared" si="1">SUM(N9:N39)</f>
        <v>0.0</v>
      </c>
      <c r="O40" s="1122" t="n">
        <f t="shared" si="1">SUM(O9:O39)</f>
        <v>0.0</v>
      </c>
      <c r="P40" s="1123" t="n">
        <f t="shared" si="1">SUM(P9:P39)</f>
        <v>0.0</v>
      </c>
      <c r="Q40" s="1124" t="n">
        <f t="shared" si="1">SUM(Q9:Q39)</f>
        <v>0.0</v>
      </c>
      <c r="R40" s="1125" t="n">
        <f t="shared" si="1">SUM(R9:R39)</f>
        <v>0.0</v>
      </c>
      <c r="S40" s="1126" t="n">
        <f t="shared" si="1">SUM(S9:S39)</f>
        <v>0.0</v>
      </c>
      <c r="T40" s="1127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39" t="s">
        <v>31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1117">
        <v>103</v>
      </c>
      <c r="K43" s="42">
        <v>3.86805555555556</v>
      </c>
      <c r="M43" s="41" t="s">
        <v>14</v>
      </c>
    </row>
    <row r="44" ht="12.75" customHeight="1">
      <c r="B44" s="41" t="s">
        <v>36</v>
      </c>
      <c r="K44" s="42">
        <v>2.18055555555556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50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 t="s">
        <v>110</v>
      </c>
      <c r="T4" s="14"/>
      <c r="U4" s="19"/>
      <c r="V4" s="2"/>
      <c r="W4" s="2"/>
      <c r="X4" s="3"/>
    </row>
    <row r="5" ht="21.0" customHeight="1">
      <c r="A5" s="1129" t="n">
        <f>SUM(F40,L40:T40)</f>
        <v>7.33333333333333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1128" t="s">
        <v>55</v>
      </c>
    </row>
    <row r="9" ht="12.75" customHeight="1">
      <c r="A9" s="27" t="s">
        <v>56</v>
      </c>
      <c r="B9" s="27" t="s">
        <v>71</v>
      </c>
      <c r="C9" s="1133" t="s">
        <v>80</v>
      </c>
      <c r="D9" s="1130" t="s">
        <v>81</v>
      </c>
      <c r="E9" s="1131" t="s">
        <v>82</v>
      </c>
      <c r="F9" s="1132" t="n">
        <f>MOD(E9-D9,1)</f>
        <v>0.3333333333333333</v>
      </c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73</v>
      </c>
      <c r="C10" s="1137" t="s">
        <v>80</v>
      </c>
      <c r="D10" s="1134" t="s">
        <v>81</v>
      </c>
      <c r="E10" s="1135" t="s">
        <v>82</v>
      </c>
      <c r="F10" s="1136" t="n">
        <f>MOD(E10-D10,1)</f>
        <v>0.3333333333333333</v>
      </c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57</v>
      </c>
      <c r="C11" s="1141" t="s">
        <v>80</v>
      </c>
      <c r="D11" s="1138" t="s">
        <v>81</v>
      </c>
      <c r="E11" s="1139" t="s">
        <v>82</v>
      </c>
      <c r="F11" s="1140" t="n">
        <f>MOD(E11-D11,1)</f>
        <v>0.3333333333333333</v>
      </c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60</v>
      </c>
      <c r="C12" s="1145" t="s">
        <v>80</v>
      </c>
      <c r="D12" s="1142" t="s">
        <v>81</v>
      </c>
      <c r="E12" s="1143" t="s">
        <v>82</v>
      </c>
      <c r="F12" s="1144" t="n">
        <f>MOD(E12-D12,1)</f>
        <v>0.3333333333333333</v>
      </c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63</v>
      </c>
      <c r="C13" s="1149" t="s">
        <v>64</v>
      </c>
      <c r="D13" s="1146"/>
      <c r="E13" s="1147"/>
      <c r="F13" s="1148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66</v>
      </c>
      <c r="C14" s="1153" t="s">
        <v>67</v>
      </c>
      <c r="D14" s="1150"/>
      <c r="E14" s="1151"/>
      <c r="F14" s="1152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69</v>
      </c>
      <c r="C15" s="1157" t="s">
        <v>80</v>
      </c>
      <c r="D15" s="1154" t="s">
        <v>81</v>
      </c>
      <c r="E15" s="1155" t="s">
        <v>82</v>
      </c>
      <c r="F15" s="1156" t="n">
        <f>MOD(E15-D15,1)</f>
        <v>0.3333333333333333</v>
      </c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71</v>
      </c>
      <c r="C16" s="1161" t="s">
        <v>80</v>
      </c>
      <c r="D16" s="1158" t="s">
        <v>81</v>
      </c>
      <c r="E16" s="1159" t="s">
        <v>82</v>
      </c>
      <c r="F16" s="1160" t="n">
        <f>MOD(E16-D16,1)</f>
        <v>0.3333333333333333</v>
      </c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73</v>
      </c>
      <c r="C17" s="1165" t="s">
        <v>80</v>
      </c>
      <c r="D17" s="1162" t="s">
        <v>81</v>
      </c>
      <c r="E17" s="1163" t="s">
        <v>82</v>
      </c>
      <c r="F17" s="1164" t="n">
        <f>MOD(E17-D17,1)</f>
        <v>0.3333333333333333</v>
      </c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57</v>
      </c>
      <c r="C18" s="1169" t="s">
        <v>80</v>
      </c>
      <c r="D18" s="1166" t="s">
        <v>81</v>
      </c>
      <c r="E18" s="1167" t="s">
        <v>82</v>
      </c>
      <c r="F18" s="1168" t="n">
        <f>MOD(E18-D18,1)</f>
        <v>0.3333333333333333</v>
      </c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60</v>
      </c>
      <c r="C19" s="1173" t="s">
        <v>80</v>
      </c>
      <c r="D19" s="1170" t="s">
        <v>81</v>
      </c>
      <c r="E19" s="1171" t="s">
        <v>82</v>
      </c>
      <c r="F19" s="1172" t="n">
        <f>MOD(E19-D19,1)</f>
        <v>0.3333333333333333</v>
      </c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63</v>
      </c>
      <c r="C20" s="1177" t="s">
        <v>64</v>
      </c>
      <c r="D20" s="1174"/>
      <c r="E20" s="1175"/>
      <c r="F20" s="1176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66</v>
      </c>
      <c r="C21" s="1181" t="s">
        <v>67</v>
      </c>
      <c r="D21" s="1178"/>
      <c r="E21" s="1179"/>
      <c r="F21" s="1180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69</v>
      </c>
      <c r="C22" s="1185" t="s">
        <v>80</v>
      </c>
      <c r="D22" s="1182" t="s">
        <v>81</v>
      </c>
      <c r="E22" s="1183" t="s">
        <v>82</v>
      </c>
      <c r="F22" s="1184" t="n">
        <f>MOD(E22-D22,1)</f>
        <v>0.3333333333333333</v>
      </c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71</v>
      </c>
      <c r="C23" s="1189" t="s">
        <v>80</v>
      </c>
      <c r="D23" s="1186" t="s">
        <v>81</v>
      </c>
      <c r="E23" s="1187" t="s">
        <v>82</v>
      </c>
      <c r="F23" s="1188" t="n">
        <f>MOD(E23-D23,1)</f>
        <v>0.3333333333333333</v>
      </c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73</v>
      </c>
      <c r="C24" s="1193" t="s">
        <v>80</v>
      </c>
      <c r="D24" s="1190" t="s">
        <v>81</v>
      </c>
      <c r="E24" s="1191" t="s">
        <v>82</v>
      </c>
      <c r="F24" s="1192" t="n">
        <f>MOD(E24-D24,1)</f>
        <v>0.3333333333333333</v>
      </c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57</v>
      </c>
      <c r="C25" s="1197" t="s">
        <v>80</v>
      </c>
      <c r="D25" s="1194" t="s">
        <v>81</v>
      </c>
      <c r="E25" s="1195" t="s">
        <v>82</v>
      </c>
      <c r="F25" s="1196" t="n">
        <f>MOD(E25-D25,1)</f>
        <v>0.3333333333333333</v>
      </c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60</v>
      </c>
      <c r="C26" s="1201" t="s">
        <v>80</v>
      </c>
      <c r="D26" s="1198" t="s">
        <v>81</v>
      </c>
      <c r="E26" s="1199" t="s">
        <v>82</v>
      </c>
      <c r="F26" s="1200" t="n">
        <f>MOD(E26-D26,1)</f>
        <v>0.3333333333333333</v>
      </c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63</v>
      </c>
      <c r="C27" s="1205" t="s">
        <v>64</v>
      </c>
      <c r="D27" s="1202"/>
      <c r="E27" s="1203"/>
      <c r="F27" s="1204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66</v>
      </c>
      <c r="C28" s="1209" t="s">
        <v>67</v>
      </c>
      <c r="D28" s="1206"/>
      <c r="E28" s="1207"/>
      <c r="F28" s="1208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69</v>
      </c>
      <c r="C29" s="1213" t="s">
        <v>80</v>
      </c>
      <c r="D29" s="1210" t="s">
        <v>81</v>
      </c>
      <c r="E29" s="1211" t="s">
        <v>82</v>
      </c>
      <c r="F29" s="1212" t="n">
        <f>MOD(E29-D29,1)</f>
        <v>0.3333333333333333</v>
      </c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71</v>
      </c>
      <c r="C30" s="1217" t="s">
        <v>80</v>
      </c>
      <c r="D30" s="1214" t="s">
        <v>81</v>
      </c>
      <c r="E30" s="1215" t="s">
        <v>82</v>
      </c>
      <c r="F30" s="1216" t="n">
        <f>MOD(E30-D30,1)</f>
        <v>0.3333333333333333</v>
      </c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73</v>
      </c>
      <c r="C31" s="1221" t="s">
        <v>80</v>
      </c>
      <c r="D31" s="1218" t="s">
        <v>81</v>
      </c>
      <c r="E31" s="1219" t="s">
        <v>82</v>
      </c>
      <c r="F31" s="1220" t="n">
        <f>MOD(E31-D31,1)</f>
        <v>0.3333333333333333</v>
      </c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7" t="s">
        <v>57</v>
      </c>
      <c r="C32" s="1225" t="s">
        <v>80</v>
      </c>
      <c r="D32" s="1222" t="s">
        <v>81</v>
      </c>
      <c r="E32" s="1223" t="s">
        <v>82</v>
      </c>
      <c r="F32" s="1224" t="n">
        <f>MOD(E32-D32,1)</f>
        <v>0.3333333333333333</v>
      </c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60</v>
      </c>
      <c r="C33" s="1229" t="s">
        <v>80</v>
      </c>
      <c r="D33" s="1226" t="s">
        <v>81</v>
      </c>
      <c r="E33" s="1227" t="s">
        <v>82</v>
      </c>
      <c r="F33" s="1228" t="n">
        <f>MOD(E33-D33,1)</f>
        <v>0.3333333333333333</v>
      </c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63</v>
      </c>
      <c r="C34" s="1233" t="s">
        <v>64</v>
      </c>
      <c r="D34" s="1230"/>
      <c r="E34" s="1231"/>
      <c r="F34" s="1232"/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66</v>
      </c>
      <c r="C35" s="1237" t="s">
        <v>67</v>
      </c>
      <c r="D35" s="1234"/>
      <c r="E35" s="1235"/>
      <c r="F35" s="1236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69</v>
      </c>
      <c r="C36" s="1241" t="s">
        <v>80</v>
      </c>
      <c r="D36" s="1238" t="s">
        <v>81</v>
      </c>
      <c r="E36" s="1239" t="s">
        <v>82</v>
      </c>
      <c r="F36" s="1240" t="n">
        <f>MOD(E36-D36,1)</f>
        <v>0.3333333333333333</v>
      </c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 t="s">
        <v>98</v>
      </c>
      <c r="B37" s="27" t="s">
        <v>71</v>
      </c>
      <c r="C37" s="1245" t="s">
        <v>80</v>
      </c>
      <c r="D37" s="1242" t="s">
        <v>81</v>
      </c>
      <c r="E37" s="1243" t="s">
        <v>82</v>
      </c>
      <c r="F37" s="1244" t="n">
        <f>MOD(E37-D37,1)</f>
        <v>0.3333333333333333</v>
      </c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 t="s">
        <v>99</v>
      </c>
      <c r="B38" s="27" t="s">
        <v>73</v>
      </c>
      <c r="C38" s="1249" t="s">
        <v>80</v>
      </c>
      <c r="D38" s="1246" t="s">
        <v>81</v>
      </c>
      <c r="E38" s="1247" t="s">
        <v>82</v>
      </c>
      <c r="F38" s="1248" t="n">
        <f>MOD(E38-D38,1)</f>
        <v>0.3333333333333333</v>
      </c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31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1251" t="n">
        <f>SUM(F9:F39)</f>
        <v>7.33333333333333</v>
      </c>
      <c r="G40" s="35"/>
      <c r="H40" s="35"/>
      <c r="I40" s="35"/>
      <c r="J40" s="35"/>
      <c r="K40" s="35"/>
      <c r="L40" s="1252" t="n">
        <f t="shared" ref="L40:T40" si="1">SUM(L9:L39)</f>
        <v>0.0</v>
      </c>
      <c r="M40" s="1253" t="n">
        <f t="shared" si="1">SUM(M9:M39)</f>
        <v>0.0</v>
      </c>
      <c r="N40" s="1254" t="n">
        <f t="shared" si="1">SUM(N9:N39)</f>
        <v>0.0</v>
      </c>
      <c r="O40" s="1255" t="n">
        <f t="shared" si="1">SUM(O9:O39)</f>
        <v>0.0</v>
      </c>
      <c r="P40" s="1256" t="n">
        <f t="shared" si="1">SUM(P9:P39)</f>
        <v>0.0</v>
      </c>
      <c r="Q40" s="1257" t="n">
        <f t="shared" si="1">SUM(Q9:Q39)</f>
        <v>0.0</v>
      </c>
      <c r="R40" s="1258" t="n">
        <f t="shared" si="1">SUM(R9:R39)</f>
        <v>0.0</v>
      </c>
      <c r="S40" s="1259" t="n">
        <f t="shared" si="1">SUM(S9:S39)</f>
        <v>0.0</v>
      </c>
      <c r="T40" s="1260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45" t="n">
        <f>-S26</f>
        <v>0.0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1250">
        <v>103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51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 t="s">
        <v>111</v>
      </c>
      <c r="T4" s="14"/>
      <c r="U4" s="19"/>
      <c r="V4" s="2"/>
      <c r="W4" s="2"/>
      <c r="X4" s="3"/>
    </row>
    <row r="5" ht="21.0" customHeight="1">
      <c r="A5" s="1262" t="n">
        <f>SUM(F40,L40:T40)</f>
        <v>7.33333333333333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1261" t="s">
        <v>55</v>
      </c>
    </row>
    <row r="9" ht="12.75" customHeight="1">
      <c r="A9" s="27" t="s">
        <v>56</v>
      </c>
      <c r="B9" s="27" t="s">
        <v>57</v>
      </c>
      <c r="C9" s="1266" t="s">
        <v>80</v>
      </c>
      <c r="D9" s="1263" t="s">
        <v>81</v>
      </c>
      <c r="E9" s="1264" t="s">
        <v>82</v>
      </c>
      <c r="F9" s="1265" t="n">
        <f>MOD(E9-D9,1)</f>
        <v>0.3333333333333333</v>
      </c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60</v>
      </c>
      <c r="C10" s="1270" t="s">
        <v>80</v>
      </c>
      <c r="D10" s="1267" t="s">
        <v>81</v>
      </c>
      <c r="E10" s="1268" t="s">
        <v>82</v>
      </c>
      <c r="F10" s="1269" t="n">
        <f>MOD(E10-D10,1)</f>
        <v>0.3333333333333333</v>
      </c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63</v>
      </c>
      <c r="C11" s="1274" t="s">
        <v>64</v>
      </c>
      <c r="D11" s="1271"/>
      <c r="E11" s="1272"/>
      <c r="F11" s="1273"/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66</v>
      </c>
      <c r="C12" s="1278" t="s">
        <v>67</v>
      </c>
      <c r="D12" s="1275"/>
      <c r="E12" s="1276"/>
      <c r="F12" s="1277"/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69</v>
      </c>
      <c r="C13" s="1282" t="s">
        <v>80</v>
      </c>
      <c r="D13" s="1279" t="s">
        <v>81</v>
      </c>
      <c r="E13" s="1280" t="s">
        <v>82</v>
      </c>
      <c r="F13" s="1281" t="n">
        <f>MOD(E13-D13,1)</f>
        <v>0.3333333333333333</v>
      </c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71</v>
      </c>
      <c r="C14" s="1286" t="s">
        <v>80</v>
      </c>
      <c r="D14" s="1283" t="s">
        <v>81</v>
      </c>
      <c r="E14" s="1284" t="s">
        <v>82</v>
      </c>
      <c r="F14" s="1285" t="n">
        <f>MOD(E14-D14,1)</f>
        <v>0.3333333333333333</v>
      </c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73</v>
      </c>
      <c r="C15" s="1290" t="s">
        <v>80</v>
      </c>
      <c r="D15" s="1287" t="s">
        <v>81</v>
      </c>
      <c r="E15" s="1288" t="s">
        <v>82</v>
      </c>
      <c r="F15" s="1289" t="n">
        <f>MOD(E15-D15,1)</f>
        <v>0.3333333333333333</v>
      </c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57</v>
      </c>
      <c r="C16" s="1294" t="s">
        <v>80</v>
      </c>
      <c r="D16" s="1291" t="s">
        <v>81</v>
      </c>
      <c r="E16" s="1292" t="s">
        <v>82</v>
      </c>
      <c r="F16" s="1293" t="n">
        <f>MOD(E16-D16,1)</f>
        <v>0.3333333333333333</v>
      </c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60</v>
      </c>
      <c r="C17" s="1298" t="s">
        <v>80</v>
      </c>
      <c r="D17" s="1295" t="s">
        <v>81</v>
      </c>
      <c r="E17" s="1296" t="s">
        <v>82</v>
      </c>
      <c r="F17" s="1297" t="n">
        <f>MOD(E17-D17,1)</f>
        <v>0.3333333333333333</v>
      </c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63</v>
      </c>
      <c r="C18" s="1302" t="s">
        <v>64</v>
      </c>
      <c r="D18" s="1299"/>
      <c r="E18" s="1300"/>
      <c r="F18" s="1301"/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66</v>
      </c>
      <c r="C19" s="1306" t="s">
        <v>67</v>
      </c>
      <c r="D19" s="1303"/>
      <c r="E19" s="1304"/>
      <c r="F19" s="1305"/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69</v>
      </c>
      <c r="C20" s="1310" t="s">
        <v>80</v>
      </c>
      <c r="D20" s="1307" t="s">
        <v>81</v>
      </c>
      <c r="E20" s="1308" t="s">
        <v>82</v>
      </c>
      <c r="F20" s="1309" t="n">
        <f>MOD(E20-D20,1)</f>
        <v>0.3333333333333333</v>
      </c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71</v>
      </c>
      <c r="C21" s="1314" t="s">
        <v>80</v>
      </c>
      <c r="D21" s="1311" t="s">
        <v>81</v>
      </c>
      <c r="E21" s="1312" t="s">
        <v>82</v>
      </c>
      <c r="F21" s="1313" t="n">
        <f>MOD(E21-D21,1)</f>
        <v>0.3333333333333333</v>
      </c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73</v>
      </c>
      <c r="C22" s="1318" t="s">
        <v>80</v>
      </c>
      <c r="D22" s="1315" t="s">
        <v>81</v>
      </c>
      <c r="E22" s="1316" t="s">
        <v>82</v>
      </c>
      <c r="F22" s="1317" t="n">
        <f>MOD(E22-D22,1)</f>
        <v>0.3333333333333333</v>
      </c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57</v>
      </c>
      <c r="C23" s="1322" t="s">
        <v>80</v>
      </c>
      <c r="D23" s="1319" t="s">
        <v>81</v>
      </c>
      <c r="E23" s="1320" t="s">
        <v>82</v>
      </c>
      <c r="F23" s="1321" t="n">
        <f>MOD(E23-D23,1)</f>
        <v>0.3333333333333333</v>
      </c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60</v>
      </c>
      <c r="C24" s="1326" t="s">
        <v>80</v>
      </c>
      <c r="D24" s="1323" t="s">
        <v>81</v>
      </c>
      <c r="E24" s="1324" t="s">
        <v>82</v>
      </c>
      <c r="F24" s="1325" t="n">
        <f>MOD(E24-D24,1)</f>
        <v>0.3333333333333333</v>
      </c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63</v>
      </c>
      <c r="C25" s="1330" t="s">
        <v>64</v>
      </c>
      <c r="D25" s="1327"/>
      <c r="E25" s="1328"/>
      <c r="F25" s="1329"/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66</v>
      </c>
      <c r="C26" s="1334" t="s">
        <v>67</v>
      </c>
      <c r="D26" s="1331"/>
      <c r="E26" s="1332"/>
      <c r="F26" s="1333"/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69</v>
      </c>
      <c r="C27" s="1338" t="s">
        <v>80</v>
      </c>
      <c r="D27" s="1335" t="s">
        <v>81</v>
      </c>
      <c r="E27" s="1336" t="s">
        <v>82</v>
      </c>
      <c r="F27" s="1337" t="n">
        <f>MOD(E27-D27,1)</f>
        <v>0.3333333333333333</v>
      </c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71</v>
      </c>
      <c r="C28" s="1342" t="s">
        <v>80</v>
      </c>
      <c r="D28" s="1339" t="s">
        <v>81</v>
      </c>
      <c r="E28" s="1340" t="s">
        <v>82</v>
      </c>
      <c r="F28" s="1341" t="n">
        <f>MOD(E28-D28,1)</f>
        <v>0.3333333333333333</v>
      </c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73</v>
      </c>
      <c r="C29" s="1346" t="s">
        <v>80</v>
      </c>
      <c r="D29" s="1343" t="s">
        <v>81</v>
      </c>
      <c r="E29" s="1344" t="s">
        <v>82</v>
      </c>
      <c r="F29" s="1345" t="n">
        <f>MOD(E29-D29,1)</f>
        <v>0.3333333333333333</v>
      </c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57</v>
      </c>
      <c r="C30" s="1350" t="s">
        <v>80</v>
      </c>
      <c r="D30" s="1347" t="s">
        <v>81</v>
      </c>
      <c r="E30" s="1348" t="s">
        <v>82</v>
      </c>
      <c r="F30" s="1349" t="n">
        <f>MOD(E30-D30,1)</f>
        <v>0.3333333333333333</v>
      </c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60</v>
      </c>
      <c r="C31" s="1354" t="s">
        <v>80</v>
      </c>
      <c r="D31" s="1351" t="s">
        <v>81</v>
      </c>
      <c r="E31" s="1352" t="s">
        <v>82</v>
      </c>
      <c r="F31" s="1353" t="n">
        <f>MOD(E31-D31,1)</f>
        <v>0.3333333333333333</v>
      </c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7" t="s">
        <v>63</v>
      </c>
      <c r="C32" s="1358" t="s">
        <v>64</v>
      </c>
      <c r="D32" s="1355"/>
      <c r="E32" s="1356"/>
      <c r="F32" s="1357"/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66</v>
      </c>
      <c r="C33" s="1362" t="s">
        <v>67</v>
      </c>
      <c r="D33" s="1359"/>
      <c r="E33" s="1360"/>
      <c r="F33" s="1361"/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69</v>
      </c>
      <c r="C34" s="1366" t="s">
        <v>80</v>
      </c>
      <c r="D34" s="1363" t="s">
        <v>81</v>
      </c>
      <c r="E34" s="1364" t="s">
        <v>82</v>
      </c>
      <c r="F34" s="1365" t="n">
        <f>MOD(E34-D34,1)</f>
        <v>0.3333333333333333</v>
      </c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71</v>
      </c>
      <c r="C35" s="1370" t="s">
        <v>80</v>
      </c>
      <c r="D35" s="1367" t="s">
        <v>81</v>
      </c>
      <c r="E35" s="1368" t="s">
        <v>82</v>
      </c>
      <c r="F35" s="1369" t="n">
        <f>MOD(E35-D35,1)</f>
        <v>0.3333333333333333</v>
      </c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73</v>
      </c>
      <c r="C36" s="1374" t="s">
        <v>80</v>
      </c>
      <c r="D36" s="1371" t="s">
        <v>81</v>
      </c>
      <c r="E36" s="1372" t="s">
        <v>82</v>
      </c>
      <c r="F36" s="1373" t="n">
        <f>MOD(E36-D36,1)</f>
        <v>0.3333333333333333</v>
      </c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 t="s">
        <v>98</v>
      </c>
      <c r="B37" s="27" t="s">
        <v>57</v>
      </c>
      <c r="C37" s="1378" t="s">
        <v>80</v>
      </c>
      <c r="D37" s="1375" t="s">
        <v>81</v>
      </c>
      <c r="E37" s="1376" t="s">
        <v>82</v>
      </c>
      <c r="F37" s="1377" t="n">
        <f>MOD(E37-D37,1)</f>
        <v>0.3333333333333333</v>
      </c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 t="s">
        <v>99</v>
      </c>
      <c r="B38" s="27" t="s">
        <v>60</v>
      </c>
      <c r="C38" s="1382" t="s">
        <v>80</v>
      </c>
      <c r="D38" s="1379" t="s">
        <v>81</v>
      </c>
      <c r="E38" s="1380" t="s">
        <v>82</v>
      </c>
      <c r="F38" s="1381" t="n">
        <f>MOD(E38-D38,1)</f>
        <v>0.3333333333333333</v>
      </c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 t="s">
        <v>100</v>
      </c>
      <c r="B39" s="27" t="s">
        <v>63</v>
      </c>
      <c r="C39" s="1386" t="s">
        <v>64</v>
      </c>
      <c r="D39" s="1383"/>
      <c r="E39" s="1384"/>
      <c r="F39" s="1385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1388" t="n">
        <f>SUM(F9:F39)</f>
        <v>7.33333333333333</v>
      </c>
      <c r="G40" s="35"/>
      <c r="H40" s="35"/>
      <c r="I40" s="35"/>
      <c r="J40" s="35"/>
      <c r="K40" s="35"/>
      <c r="L40" s="1389" t="n">
        <f t="shared" ref="L40:T40" si="1">SUM(L9:L39)</f>
        <v>0.0</v>
      </c>
      <c r="M40" s="1390" t="n">
        <f t="shared" si="1">SUM(M9:M39)</f>
        <v>0.0</v>
      </c>
      <c r="N40" s="1391" t="n">
        <f t="shared" si="1">SUM(N9:N39)</f>
        <v>0.0</v>
      </c>
      <c r="O40" s="1392" t="n">
        <f t="shared" si="1">SUM(O9:O39)</f>
        <v>0.0</v>
      </c>
      <c r="P40" s="1393" t="n">
        <f t="shared" si="1">SUM(P9:P39)</f>
        <v>0.0</v>
      </c>
      <c r="Q40" s="1394" t="n">
        <f t="shared" si="1">SUM(Q9:Q39)</f>
        <v>0.0</v>
      </c>
      <c r="R40" s="1395" t="n">
        <f t="shared" si="1">SUM(R9:R39)</f>
        <v>0.0</v>
      </c>
      <c r="S40" s="1396" t="n">
        <f t="shared" si="1">SUM(S9:S39)</f>
        <v>0.0</v>
      </c>
      <c r="T40" s="1397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45" t="n">
        <f>-S26</f>
        <v>0.0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1387">
        <v>103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52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 t="s">
        <v>112</v>
      </c>
      <c r="T4" s="14"/>
      <c r="U4" s="19"/>
      <c r="V4" s="2"/>
      <c r="W4" s="2"/>
      <c r="X4" s="3"/>
    </row>
    <row r="5" ht="21.0" customHeight="1">
      <c r="A5" s="1399" t="n">
        <f>SUM(F40,L40:T40)</f>
        <v>6.666666666666664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1398" t="s">
        <v>55</v>
      </c>
    </row>
    <row r="9" ht="12.75" customHeight="1">
      <c r="A9" s="27" t="s">
        <v>56</v>
      </c>
      <c r="B9" s="27" t="s">
        <v>66</v>
      </c>
      <c r="C9" s="1403" t="s">
        <v>58</v>
      </c>
      <c r="D9" s="1400"/>
      <c r="E9" s="1401"/>
      <c r="F9" s="1402" t="n">
        <f>MOD(E9-D9,1)</f>
        <v>0.0</v>
      </c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69</v>
      </c>
      <c r="C10" s="1407" t="s">
        <v>80</v>
      </c>
      <c r="D10" s="1404" t="s">
        <v>81</v>
      </c>
      <c r="E10" s="1405" t="s">
        <v>82</v>
      </c>
      <c r="F10" s="1406" t="n">
        <f>MOD(E10-D10,1)</f>
        <v>0.3333333333333333</v>
      </c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71</v>
      </c>
      <c r="C11" s="1411" t="s">
        <v>80</v>
      </c>
      <c r="D11" s="1408" t="s">
        <v>81</v>
      </c>
      <c r="E11" s="1409" t="s">
        <v>82</v>
      </c>
      <c r="F11" s="1410" t="n">
        <f>MOD(E11-D11,1)</f>
        <v>0.3333333333333333</v>
      </c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73</v>
      </c>
      <c r="C12" s="1415" t="s">
        <v>80</v>
      </c>
      <c r="D12" s="1412" t="s">
        <v>81</v>
      </c>
      <c r="E12" s="1413" t="s">
        <v>82</v>
      </c>
      <c r="F12" s="1414" t="n">
        <f>MOD(E12-D12,1)</f>
        <v>0.3333333333333333</v>
      </c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57</v>
      </c>
      <c r="C13" s="1419" t="s">
        <v>80</v>
      </c>
      <c r="D13" s="1416" t="s">
        <v>81</v>
      </c>
      <c r="E13" s="1417" t="s">
        <v>82</v>
      </c>
      <c r="F13" s="1418" t="n">
        <f>MOD(E13-D13,1)</f>
        <v>0.3333333333333333</v>
      </c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60</v>
      </c>
      <c r="C14" s="1423" t="s">
        <v>80</v>
      </c>
      <c r="D14" s="1420" t="s">
        <v>81</v>
      </c>
      <c r="E14" s="1421" t="s">
        <v>82</v>
      </c>
      <c r="F14" s="1422" t="n">
        <f>MOD(E14-D14,1)</f>
        <v>0.3333333333333333</v>
      </c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63</v>
      </c>
      <c r="C15" s="1427" t="s">
        <v>64</v>
      </c>
      <c r="D15" s="1424"/>
      <c r="E15" s="1425"/>
      <c r="F15" s="1426"/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66</v>
      </c>
      <c r="C16" s="1431" t="s">
        <v>67</v>
      </c>
      <c r="D16" s="1428"/>
      <c r="E16" s="1429"/>
      <c r="F16" s="1430"/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69</v>
      </c>
      <c r="C17" s="1435" t="s">
        <v>80</v>
      </c>
      <c r="D17" s="1432" t="s">
        <v>81</v>
      </c>
      <c r="E17" s="1433" t="s">
        <v>82</v>
      </c>
      <c r="F17" s="1434" t="n">
        <f>MOD(E17-D17,1)</f>
        <v>0.3333333333333333</v>
      </c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71</v>
      </c>
      <c r="C18" s="1439" t="s">
        <v>80</v>
      </c>
      <c r="D18" s="1436" t="s">
        <v>81</v>
      </c>
      <c r="E18" s="1437" t="s">
        <v>82</v>
      </c>
      <c r="F18" s="1438" t="n">
        <f>MOD(E18-D18,1)</f>
        <v>0.3333333333333333</v>
      </c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73</v>
      </c>
      <c r="C19" s="1443" t="s">
        <v>58</v>
      </c>
      <c r="D19" s="1440"/>
      <c r="E19" s="1441"/>
      <c r="F19" s="1442" t="n">
        <f>MOD(E19-D19,1)</f>
        <v>0.0</v>
      </c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57</v>
      </c>
      <c r="C20" s="1447" t="s">
        <v>80</v>
      </c>
      <c r="D20" s="1444" t="s">
        <v>81</v>
      </c>
      <c r="E20" s="1445" t="s">
        <v>82</v>
      </c>
      <c r="F20" s="1446" t="n">
        <f>MOD(E20-D20,1)</f>
        <v>0.3333333333333333</v>
      </c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60</v>
      </c>
      <c r="C21" s="1451" t="s">
        <v>80</v>
      </c>
      <c r="D21" s="1448" t="s">
        <v>81</v>
      </c>
      <c r="E21" s="1449" t="s">
        <v>82</v>
      </c>
      <c r="F21" s="1450" t="n">
        <f>MOD(E21-D21,1)</f>
        <v>0.3333333333333333</v>
      </c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63</v>
      </c>
      <c r="C22" s="1455" t="s">
        <v>64</v>
      </c>
      <c r="D22" s="1452"/>
      <c r="E22" s="1453"/>
      <c r="F22" s="1454"/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66</v>
      </c>
      <c r="C23" s="1459" t="s">
        <v>67</v>
      </c>
      <c r="D23" s="1456"/>
      <c r="E23" s="1457"/>
      <c r="F23" s="1458"/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69</v>
      </c>
      <c r="C24" s="1463" t="s">
        <v>80</v>
      </c>
      <c r="D24" s="1460" t="s">
        <v>81</v>
      </c>
      <c r="E24" s="1461" t="s">
        <v>82</v>
      </c>
      <c r="F24" s="1462" t="n">
        <f>MOD(E24-D24,1)</f>
        <v>0.3333333333333333</v>
      </c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71</v>
      </c>
      <c r="C25" s="1467" t="s">
        <v>80</v>
      </c>
      <c r="D25" s="1464" t="s">
        <v>81</v>
      </c>
      <c r="E25" s="1465" t="s">
        <v>82</v>
      </c>
      <c r="F25" s="1466" t="n">
        <f>MOD(E25-D25,1)</f>
        <v>0.3333333333333333</v>
      </c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73</v>
      </c>
      <c r="C26" s="1471" t="s">
        <v>80</v>
      </c>
      <c r="D26" s="1468" t="s">
        <v>81</v>
      </c>
      <c r="E26" s="1469" t="s">
        <v>82</v>
      </c>
      <c r="F26" s="1470" t="n">
        <f>MOD(E26-D26,1)</f>
        <v>0.3333333333333333</v>
      </c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57</v>
      </c>
      <c r="C27" s="1475" t="s">
        <v>80</v>
      </c>
      <c r="D27" s="1472" t="s">
        <v>81</v>
      </c>
      <c r="E27" s="1473" t="s">
        <v>82</v>
      </c>
      <c r="F27" s="1474" t="n">
        <f>MOD(E27-D27,1)</f>
        <v>0.3333333333333333</v>
      </c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60</v>
      </c>
      <c r="C28" s="1479" t="s">
        <v>80</v>
      </c>
      <c r="D28" s="1476" t="s">
        <v>81</v>
      </c>
      <c r="E28" s="1477" t="s">
        <v>82</v>
      </c>
      <c r="F28" s="1478" t="n">
        <f>MOD(E28-D28,1)</f>
        <v>0.3333333333333333</v>
      </c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63</v>
      </c>
      <c r="C29" s="1483" t="s">
        <v>64</v>
      </c>
      <c r="D29" s="1480"/>
      <c r="E29" s="1481"/>
      <c r="F29" s="1482"/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66</v>
      </c>
      <c r="C30" s="1487" t="s">
        <v>67</v>
      </c>
      <c r="D30" s="1484"/>
      <c r="E30" s="1485"/>
      <c r="F30" s="1486"/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69</v>
      </c>
      <c r="C31" s="1491" t="s">
        <v>80</v>
      </c>
      <c r="D31" s="1488" t="s">
        <v>81</v>
      </c>
      <c r="E31" s="1489" t="s">
        <v>82</v>
      </c>
      <c r="F31" s="1490" t="n">
        <f>MOD(E31-D31,1)</f>
        <v>0.3333333333333333</v>
      </c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7" t="s">
        <v>71</v>
      </c>
      <c r="C32" s="1495" t="s">
        <v>80</v>
      </c>
      <c r="D32" s="1492" t="s">
        <v>81</v>
      </c>
      <c r="E32" s="1493" t="s">
        <v>82</v>
      </c>
      <c r="F32" s="1494" t="n">
        <f>MOD(E32-D32,1)</f>
        <v>0.3333333333333333</v>
      </c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73</v>
      </c>
      <c r="C33" s="1499" t="s">
        <v>80</v>
      </c>
      <c r="D33" s="1496" t="s">
        <v>81</v>
      </c>
      <c r="E33" s="1497" t="s">
        <v>82</v>
      </c>
      <c r="F33" s="1498" t="n">
        <f>MOD(E33-D33,1)</f>
        <v>0.3333333333333333</v>
      </c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57</v>
      </c>
      <c r="C34" s="1503" t="s">
        <v>80</v>
      </c>
      <c r="D34" s="1500" t="s">
        <v>81</v>
      </c>
      <c r="E34" s="1501" t="s">
        <v>82</v>
      </c>
      <c r="F34" s="1502" t="n">
        <f>MOD(E34-D34,1)</f>
        <v>0.3333333333333333</v>
      </c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60</v>
      </c>
      <c r="C35" s="1507" t="s">
        <v>80</v>
      </c>
      <c r="D35" s="1504" t="s">
        <v>81</v>
      </c>
      <c r="E35" s="1505" t="s">
        <v>82</v>
      </c>
      <c r="F35" s="1506" t="n">
        <f>MOD(E35-D35,1)</f>
        <v>0.3333333333333333</v>
      </c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63</v>
      </c>
      <c r="C36" s="1511" t="s">
        <v>64</v>
      </c>
      <c r="D36" s="1508"/>
      <c r="E36" s="1509"/>
      <c r="F36" s="1510"/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 t="s">
        <v>98</v>
      </c>
      <c r="B37" s="27" t="s">
        <v>66</v>
      </c>
      <c r="C37" s="1515" t="s">
        <v>67</v>
      </c>
      <c r="D37" s="1512"/>
      <c r="E37" s="1513"/>
      <c r="F37" s="1514"/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 t="s">
        <v>99</v>
      </c>
      <c r="B38" s="27" t="s">
        <v>69</v>
      </c>
      <c r="C38" s="1519" t="s">
        <v>80</v>
      </c>
      <c r="D38" s="1516" t="s">
        <v>81</v>
      </c>
      <c r="E38" s="1517" t="s">
        <v>82</v>
      </c>
      <c r="F38" s="1518" t="n">
        <f>MOD(E38-D38,1)</f>
        <v>0.3333333333333333</v>
      </c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/>
      <c r="B39" s="27"/>
      <c r="C39" s="27"/>
      <c r="D39" s="28"/>
      <c r="E39" s="28"/>
      <c r="F39" s="28"/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1521" t="n">
        <f>SUM(F9:F39)</f>
        <v>6.666666666666664</v>
      </c>
      <c r="G40" s="35"/>
      <c r="H40" s="35"/>
      <c r="I40" s="35"/>
      <c r="J40" s="35"/>
      <c r="K40" s="35"/>
      <c r="L40" s="1522" t="n">
        <f t="shared" ref="L40:T40" si="1">SUM(L9:L39)</f>
        <v>0.0</v>
      </c>
      <c r="M40" s="1523" t="n">
        <f t="shared" si="1">SUM(M9:M39)</f>
        <v>0.0</v>
      </c>
      <c r="N40" s="1524" t="n">
        <f t="shared" si="1">SUM(N9:N39)</f>
        <v>0.0</v>
      </c>
      <c r="O40" s="1525" t="n">
        <f t="shared" si="1">SUM(O9:O39)</f>
        <v>0.0</v>
      </c>
      <c r="P40" s="1526" t="n">
        <f t="shared" si="1">SUM(P9:P39)</f>
        <v>0.0</v>
      </c>
      <c r="Q40" s="1527" t="n">
        <f t="shared" si="1">SUM(Q9:Q39)</f>
        <v>0.0</v>
      </c>
      <c r="R40" s="1528" t="n">
        <f t="shared" si="1">SUM(R9:R39)</f>
        <v>0.0</v>
      </c>
      <c r="S40" s="1529" t="n">
        <f t="shared" si="1">SUM(S9:S39)</f>
        <v>0.0</v>
      </c>
      <c r="T40" s="1530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45" t="n">
        <f>-S26</f>
        <v>0.0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1520">
        <v>103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1:Y1000"/>
  <sheetViews>
    <sheetView workbookViewId="0"/>
  </sheetViews>
  <sheetFormatPr customHeight="1" defaultColWidth="14.43" defaultRowHeight="15.0"/>
  <cols>
    <col min="1" max="1" customWidth="true" width="6.71"/>
    <col min="2" max="2" customWidth="true" width="8.14"/>
    <col min="3" max="5" customWidth="true" width="6.71"/>
    <col min="6" max="6" customWidth="true" width="8.43"/>
    <col min="7" max="7" customWidth="true" width="6.71"/>
    <col min="8" max="8" customWidth="true" width="6.57"/>
    <col min="9" max="9" customWidth="true" width="6.71"/>
    <col min="10" max="10" customWidth="true" width="6.29"/>
    <col min="11" max="20" customWidth="true" width="6.71"/>
    <col min="21" max="21" customWidth="true" width="8.71"/>
    <col min="22" max="23" customWidth="true" width="8.57"/>
    <col min="24" max="24" customWidth="true" width="15.86"/>
    <col min="25" max="26" customWidth="true" width="9.0"/>
  </cols>
  <sheetData>
    <row r="1" ht="29.25" customHeight="1">
      <c r="A1" s="1" t="s">
        <v>0</v>
      </c>
      <c r="B1" s="2"/>
      <c r="C1" s="2"/>
      <c r="D1" s="2"/>
      <c r="E1" s="3"/>
      <c r="F1" s="4"/>
      <c r="G1" s="5" t="s">
        <v>53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6" t="s">
        <v>2</v>
      </c>
      <c r="V1" s="7"/>
      <c r="W1" s="7"/>
      <c r="X1" s="8"/>
    </row>
    <row r="2" ht="27.0" customHeight="1">
      <c r="A2" s="9"/>
      <c r="B2" s="10"/>
      <c r="C2" s="10"/>
      <c r="D2" s="10"/>
      <c r="E2" s="11"/>
      <c r="F2" s="12"/>
      <c r="G2" s="13"/>
      <c r="T2" s="14"/>
      <c r="U2" s="15"/>
      <c r="V2" s="2"/>
      <c r="W2" s="2"/>
      <c r="X2" s="3"/>
    </row>
    <row r="3" ht="6.75" customHeight="1">
      <c r="A3" s="16"/>
      <c r="B3" s="16"/>
      <c r="C3" s="16"/>
      <c r="D3" s="16"/>
      <c r="E3" s="16"/>
      <c r="F3" s="16"/>
      <c r="G3" s="13"/>
      <c r="T3" s="14"/>
      <c r="U3" s="10"/>
      <c r="V3" s="10"/>
      <c r="W3" s="10"/>
      <c r="X3" s="11"/>
    </row>
    <row r="4" ht="13.5" customHeight="1">
      <c r="A4" s="17" t="s">
        <v>42</v>
      </c>
      <c r="B4" s="7"/>
      <c r="C4" s="7"/>
      <c r="D4" s="7"/>
      <c r="E4" s="8"/>
      <c r="F4" s="12"/>
      <c r="G4" s="18" t="s">
        <v>113</v>
      </c>
      <c r="T4" s="14"/>
      <c r="U4" s="19"/>
      <c r="V4" s="2"/>
      <c r="W4" s="2"/>
      <c r="X4" s="3"/>
    </row>
    <row r="5" ht="21.0" customHeight="1">
      <c r="A5" s="1532" t="n">
        <f>SUM(F40,L40:T40)</f>
        <v>6.999999999999997</v>
      </c>
      <c r="B5" s="7"/>
      <c r="C5" s="8"/>
      <c r="D5" s="21"/>
      <c r="E5" s="8"/>
      <c r="F5" s="22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/>
      <c r="U5" s="9"/>
      <c r="V5" s="10"/>
      <c r="W5" s="10"/>
      <c r="X5" s="11"/>
    </row>
    <row r="6" ht="7.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</row>
    <row r="7" ht="25.5" customHeight="1">
      <c r="A7" s="23" t="s">
        <v>4</v>
      </c>
      <c r="B7" s="7"/>
      <c r="C7" s="8"/>
      <c r="D7" s="23" t="s">
        <v>5</v>
      </c>
      <c r="E7" s="7"/>
      <c r="F7" s="8"/>
      <c r="G7" s="23" t="s">
        <v>6</v>
      </c>
      <c r="H7" s="7"/>
      <c r="I7" s="7"/>
      <c r="J7" s="7"/>
      <c r="K7" s="8"/>
      <c r="L7" s="23" t="s">
        <v>7</v>
      </c>
      <c r="M7" s="7"/>
      <c r="N7" s="7"/>
      <c r="O7" s="7"/>
      <c r="P7" s="7"/>
      <c r="Q7" s="7"/>
      <c r="R7" s="7"/>
      <c r="S7" s="7"/>
      <c r="T7" s="8"/>
      <c r="U7" s="23" t="s">
        <v>8</v>
      </c>
      <c r="V7" s="7"/>
      <c r="W7" s="7"/>
      <c r="X7" s="8"/>
    </row>
    <row r="8" ht="33.75" customHeight="1">
      <c r="A8" s="24" t="s">
        <v>9</v>
      </c>
      <c r="B8" s="24" t="s">
        <v>10</v>
      </c>
      <c r="C8" s="24" t="s">
        <v>11</v>
      </c>
      <c r="D8" s="25" t="s">
        <v>12</v>
      </c>
      <c r="E8" s="24" t="s">
        <v>13</v>
      </c>
      <c r="F8" s="24" t="s">
        <v>14</v>
      </c>
      <c r="G8" s="24" t="s">
        <v>15</v>
      </c>
      <c r="H8" s="24" t="s">
        <v>16</v>
      </c>
      <c r="I8" s="24" t="s">
        <v>17</v>
      </c>
      <c r="J8" s="24" t="s">
        <v>18</v>
      </c>
      <c r="K8" s="24" t="s">
        <v>19</v>
      </c>
      <c r="L8" s="24" t="s">
        <v>20</v>
      </c>
      <c r="M8" s="24" t="s">
        <v>21</v>
      </c>
      <c r="N8" s="24" t="s">
        <v>22</v>
      </c>
      <c r="O8" s="24" t="s">
        <v>23</v>
      </c>
      <c r="P8" s="24" t="s">
        <v>24</v>
      </c>
      <c r="Q8" s="24" t="s">
        <v>25</v>
      </c>
      <c r="R8" s="24" t="s">
        <v>26</v>
      </c>
      <c r="S8" s="24" t="s">
        <v>27</v>
      </c>
      <c r="T8" s="24" t="s">
        <v>28</v>
      </c>
      <c r="U8" s="24"/>
      <c r="V8" s="24"/>
      <c r="W8" s="24"/>
      <c r="X8" s="1531" t="s">
        <v>55</v>
      </c>
    </row>
    <row r="9" ht="12.75" customHeight="1">
      <c r="A9" s="27" t="s">
        <v>56</v>
      </c>
      <c r="B9" s="27" t="s">
        <v>71</v>
      </c>
      <c r="C9" s="1536" t="s">
        <v>80</v>
      </c>
      <c r="D9" s="1533" t="s">
        <v>81</v>
      </c>
      <c r="E9" s="1534" t="s">
        <v>82</v>
      </c>
      <c r="F9" s="1535" t="n">
        <f>MOD(E9-D9,1)</f>
        <v>0.3333333333333333</v>
      </c>
      <c r="G9" s="29"/>
      <c r="H9" s="27"/>
      <c r="I9" s="27"/>
      <c r="J9" s="27"/>
      <c r="K9" s="27"/>
      <c r="L9" s="28"/>
      <c r="M9" s="28"/>
      <c r="N9" s="28"/>
      <c r="O9" s="28"/>
      <c r="P9" s="28"/>
      <c r="Q9" s="28"/>
      <c r="R9" s="28"/>
      <c r="S9" s="28"/>
      <c r="T9" s="28"/>
      <c r="U9" s="27"/>
      <c r="V9" s="27"/>
      <c r="W9" s="27"/>
      <c r="X9" s="27"/>
    </row>
    <row r="10" ht="12.75" customHeight="1">
      <c r="A10" s="27" t="s">
        <v>59</v>
      </c>
      <c r="B10" s="27" t="s">
        <v>73</v>
      </c>
      <c r="C10" s="1540" t="s">
        <v>80</v>
      </c>
      <c r="D10" s="1537" t="s">
        <v>81</v>
      </c>
      <c r="E10" s="1538" t="s">
        <v>82</v>
      </c>
      <c r="F10" s="1539" t="n">
        <f>MOD(E10-D10,1)</f>
        <v>0.3333333333333333</v>
      </c>
      <c r="G10" s="27"/>
      <c r="H10" s="27"/>
      <c r="I10" s="27"/>
      <c r="J10" s="27"/>
      <c r="K10" s="27"/>
      <c r="L10" s="28"/>
      <c r="M10" s="28"/>
      <c r="N10" s="28"/>
      <c r="O10" s="28"/>
      <c r="P10" s="28"/>
      <c r="Q10" s="28"/>
      <c r="R10" s="28"/>
      <c r="S10" s="28"/>
      <c r="T10" s="28"/>
      <c r="U10" s="27"/>
      <c r="V10" s="27"/>
      <c r="W10" s="27"/>
      <c r="X10" s="29"/>
    </row>
    <row r="11" ht="12.75" customHeight="1">
      <c r="A11" s="27" t="s">
        <v>62</v>
      </c>
      <c r="B11" s="27" t="s">
        <v>57</v>
      </c>
      <c r="C11" s="1544" t="s">
        <v>80</v>
      </c>
      <c r="D11" s="1541" t="s">
        <v>81</v>
      </c>
      <c r="E11" s="1542" t="s">
        <v>82</v>
      </c>
      <c r="F11" s="1543" t="n">
        <f>MOD(E11-D11,1)</f>
        <v>0.3333333333333333</v>
      </c>
      <c r="G11" s="27"/>
      <c r="H11" s="27"/>
      <c r="I11" s="27"/>
      <c r="J11" s="27"/>
      <c r="K11" s="27"/>
      <c r="L11" s="28"/>
      <c r="M11" s="28"/>
      <c r="N11" s="28"/>
      <c r="O11" s="28"/>
      <c r="P11" s="28"/>
      <c r="Q11" s="28"/>
      <c r="R11" s="28"/>
      <c r="S11" s="28"/>
      <c r="T11" s="28"/>
      <c r="U11" s="27"/>
      <c r="V11" s="27"/>
      <c r="W11" s="27"/>
      <c r="X11" s="27"/>
    </row>
    <row r="12" ht="12.75" customHeight="1">
      <c r="A12" s="27" t="s">
        <v>65</v>
      </c>
      <c r="B12" s="27" t="s">
        <v>60</v>
      </c>
      <c r="C12" s="1548" t="s">
        <v>80</v>
      </c>
      <c r="D12" s="1545" t="s">
        <v>81</v>
      </c>
      <c r="E12" s="1546" t="s">
        <v>82</v>
      </c>
      <c r="F12" s="1547" t="n">
        <f>MOD(E12-D12,1)</f>
        <v>0.3333333333333333</v>
      </c>
      <c r="G12" s="27"/>
      <c r="H12" s="27"/>
      <c r="I12" s="27"/>
      <c r="J12" s="27"/>
      <c r="K12" s="27"/>
      <c r="L12" s="28"/>
      <c r="M12" s="28"/>
      <c r="N12" s="28"/>
      <c r="O12" s="28"/>
      <c r="P12" s="28"/>
      <c r="Q12" s="28"/>
      <c r="R12" s="28"/>
      <c r="S12" s="28"/>
      <c r="T12" s="28"/>
      <c r="U12" s="27"/>
      <c r="V12" s="27"/>
      <c r="W12" s="27"/>
      <c r="X12" s="27"/>
    </row>
    <row r="13" ht="12.75" customHeight="1">
      <c r="A13" s="27" t="s">
        <v>68</v>
      </c>
      <c r="B13" s="27" t="s">
        <v>63</v>
      </c>
      <c r="C13" s="1552" t="s">
        <v>64</v>
      </c>
      <c r="D13" s="1549"/>
      <c r="E13" s="1550"/>
      <c r="F13" s="1551"/>
      <c r="G13" s="27"/>
      <c r="H13" s="27"/>
      <c r="I13" s="27"/>
      <c r="J13" s="27"/>
      <c r="K13" s="27"/>
      <c r="L13" s="28"/>
      <c r="M13" s="28"/>
      <c r="N13" s="28"/>
      <c r="O13" s="28"/>
      <c r="P13" s="28"/>
      <c r="Q13" s="28"/>
      <c r="R13" s="28"/>
      <c r="S13" s="28"/>
      <c r="T13" s="28"/>
      <c r="U13" s="27"/>
      <c r="V13" s="27"/>
      <c r="W13" s="27"/>
      <c r="X13" s="27"/>
    </row>
    <row r="14" ht="12.75" customHeight="1">
      <c r="A14" s="27" t="s">
        <v>70</v>
      </c>
      <c r="B14" s="27" t="s">
        <v>66</v>
      </c>
      <c r="C14" s="1556" t="s">
        <v>67</v>
      </c>
      <c r="D14" s="1553"/>
      <c r="E14" s="1554"/>
      <c r="F14" s="1555"/>
      <c r="G14" s="27"/>
      <c r="H14" s="27"/>
      <c r="I14" s="27"/>
      <c r="J14" s="27"/>
      <c r="K14" s="27"/>
      <c r="L14" s="28"/>
      <c r="M14" s="28"/>
      <c r="N14" s="28"/>
      <c r="O14" s="28"/>
      <c r="P14" s="28"/>
      <c r="Q14" s="28"/>
      <c r="R14" s="28"/>
      <c r="S14" s="28"/>
      <c r="T14" s="28"/>
      <c r="U14" s="27"/>
      <c r="V14" s="27"/>
      <c r="W14" s="27"/>
      <c r="X14" s="27"/>
    </row>
    <row r="15" ht="12.75" customHeight="1">
      <c r="A15" s="27" t="s">
        <v>72</v>
      </c>
      <c r="B15" s="27" t="s">
        <v>69</v>
      </c>
      <c r="C15" s="1560" t="s">
        <v>80</v>
      </c>
      <c r="D15" s="1557" t="s">
        <v>81</v>
      </c>
      <c r="E15" s="1558" t="s">
        <v>82</v>
      </c>
      <c r="F15" s="1559" t="n">
        <f>MOD(E15-D15,1)</f>
        <v>0.3333333333333333</v>
      </c>
      <c r="G15" s="27"/>
      <c r="H15" s="27"/>
      <c r="I15" s="27"/>
      <c r="J15" s="27"/>
      <c r="K15" s="27"/>
      <c r="L15" s="28"/>
      <c r="M15" s="28"/>
      <c r="N15" s="28"/>
      <c r="O15" s="28"/>
      <c r="P15" s="28"/>
      <c r="Q15" s="28"/>
      <c r="R15" s="28"/>
      <c r="S15" s="28"/>
      <c r="T15" s="28"/>
      <c r="U15" s="27"/>
      <c r="V15" s="27"/>
      <c r="W15" s="27"/>
      <c r="X15" s="27"/>
    </row>
    <row r="16" ht="12.75" customHeight="1">
      <c r="A16" s="27" t="s">
        <v>74</v>
      </c>
      <c r="B16" s="27" t="s">
        <v>71</v>
      </c>
      <c r="C16" s="1564" t="s">
        <v>80</v>
      </c>
      <c r="D16" s="1561" t="s">
        <v>81</v>
      </c>
      <c r="E16" s="1562" t="s">
        <v>82</v>
      </c>
      <c r="F16" s="1563" t="n">
        <f>MOD(E16-D16,1)</f>
        <v>0.3333333333333333</v>
      </c>
      <c r="G16" s="27"/>
      <c r="H16" s="27"/>
      <c r="I16" s="27"/>
      <c r="J16" s="27"/>
      <c r="K16" s="27"/>
      <c r="L16" s="28"/>
      <c r="M16" s="28"/>
      <c r="N16" s="28"/>
      <c r="O16" s="28"/>
      <c r="P16" s="28"/>
      <c r="Q16" s="28"/>
      <c r="R16" s="28"/>
      <c r="S16" s="28"/>
      <c r="T16" s="28"/>
      <c r="U16" s="27"/>
      <c r="V16" s="27"/>
      <c r="W16" s="27"/>
      <c r="X16" s="27"/>
    </row>
    <row r="17" ht="12.75" customHeight="1">
      <c r="A17" s="27" t="s">
        <v>75</v>
      </c>
      <c r="B17" s="27" t="s">
        <v>73</v>
      </c>
      <c r="C17" s="1568" t="s">
        <v>80</v>
      </c>
      <c r="D17" s="1565" t="s">
        <v>81</v>
      </c>
      <c r="E17" s="1566" t="s">
        <v>82</v>
      </c>
      <c r="F17" s="1567" t="n">
        <f>MOD(E17-D17,1)</f>
        <v>0.3333333333333333</v>
      </c>
      <c r="G17" s="27"/>
      <c r="H17" s="27"/>
      <c r="I17" s="27"/>
      <c r="J17" s="27"/>
      <c r="K17" s="27"/>
      <c r="L17" s="28"/>
      <c r="M17" s="28"/>
      <c r="N17" s="28"/>
      <c r="O17" s="28"/>
      <c r="P17" s="28"/>
      <c r="Q17" s="28"/>
      <c r="R17" s="28"/>
      <c r="S17" s="28"/>
      <c r="T17" s="28"/>
      <c r="U17" s="27"/>
      <c r="V17" s="27"/>
      <c r="W17" s="27"/>
      <c r="X17" s="27"/>
    </row>
    <row r="18" ht="12.75" customHeight="1">
      <c r="A18" s="27" t="s">
        <v>76</v>
      </c>
      <c r="B18" s="27" t="s">
        <v>57</v>
      </c>
      <c r="C18" s="1572" t="s">
        <v>80</v>
      </c>
      <c r="D18" s="1569" t="s">
        <v>81</v>
      </c>
      <c r="E18" s="1570" t="s">
        <v>82</v>
      </c>
      <c r="F18" s="1571" t="n">
        <f>MOD(E18-D18,1)</f>
        <v>0.3333333333333333</v>
      </c>
      <c r="G18" s="27"/>
      <c r="H18" s="27"/>
      <c r="I18" s="27"/>
      <c r="J18" s="27"/>
      <c r="K18" s="27"/>
      <c r="L18" s="28"/>
      <c r="M18" s="28"/>
      <c r="N18" s="28"/>
      <c r="O18" s="28"/>
      <c r="P18" s="28"/>
      <c r="Q18" s="28"/>
      <c r="R18" s="28"/>
      <c r="S18" s="28"/>
      <c r="T18" s="28"/>
      <c r="U18" s="27"/>
      <c r="V18" s="27"/>
      <c r="W18" s="27"/>
      <c r="X18" s="27"/>
    </row>
    <row r="19" ht="12.75" customHeight="1">
      <c r="A19" s="27" t="s">
        <v>77</v>
      </c>
      <c r="B19" s="27" t="s">
        <v>60</v>
      </c>
      <c r="C19" s="1576" t="s">
        <v>80</v>
      </c>
      <c r="D19" s="1573" t="s">
        <v>81</v>
      </c>
      <c r="E19" s="1574" t="s">
        <v>82</v>
      </c>
      <c r="F19" s="1575" t="n">
        <f>MOD(E19-D19,1)</f>
        <v>0.3333333333333333</v>
      </c>
      <c r="G19" s="27"/>
      <c r="H19" s="27"/>
      <c r="I19" s="27"/>
      <c r="J19" s="27"/>
      <c r="K19" s="27"/>
      <c r="L19" s="28"/>
      <c r="M19" s="28"/>
      <c r="N19" s="28"/>
      <c r="O19" s="28"/>
      <c r="P19" s="28"/>
      <c r="Q19" s="28"/>
      <c r="R19" s="28"/>
      <c r="S19" s="28"/>
      <c r="T19" s="28"/>
      <c r="U19" s="27"/>
      <c r="V19" s="27"/>
      <c r="W19" s="27"/>
      <c r="X19" s="27"/>
    </row>
    <row r="20" ht="12.75" customHeight="1">
      <c r="A20" s="27" t="s">
        <v>78</v>
      </c>
      <c r="B20" s="27" t="s">
        <v>63</v>
      </c>
      <c r="C20" s="1580" t="s">
        <v>64</v>
      </c>
      <c r="D20" s="1577"/>
      <c r="E20" s="1578"/>
      <c r="F20" s="1579"/>
      <c r="G20" s="27"/>
      <c r="H20" s="27"/>
      <c r="I20" s="27"/>
      <c r="J20" s="27"/>
      <c r="K20" s="27"/>
      <c r="L20" s="28"/>
      <c r="M20" s="28"/>
      <c r="N20" s="28"/>
      <c r="O20" s="28"/>
      <c r="P20" s="28"/>
      <c r="Q20" s="28"/>
      <c r="R20" s="28"/>
      <c r="S20" s="28"/>
      <c r="T20" s="28"/>
      <c r="U20" s="27"/>
      <c r="V20" s="27"/>
      <c r="W20" s="27"/>
      <c r="X20" s="27"/>
    </row>
    <row r="21" ht="12.75" customHeight="1">
      <c r="A21" s="27" t="s">
        <v>79</v>
      </c>
      <c r="B21" s="27" t="s">
        <v>66</v>
      </c>
      <c r="C21" s="1584" t="s">
        <v>67</v>
      </c>
      <c r="D21" s="1581"/>
      <c r="E21" s="1582"/>
      <c r="F21" s="1583"/>
      <c r="G21" s="27"/>
      <c r="H21" s="27"/>
      <c r="I21" s="27"/>
      <c r="J21" s="27"/>
      <c r="K21" s="27"/>
      <c r="L21" s="28"/>
      <c r="M21" s="28"/>
      <c r="N21" s="28"/>
      <c r="O21" s="28"/>
      <c r="P21" s="28"/>
      <c r="Q21" s="28"/>
      <c r="R21" s="28"/>
      <c r="S21" s="28"/>
      <c r="T21" s="28"/>
      <c r="U21" s="27"/>
      <c r="V21" s="27"/>
      <c r="W21" s="27"/>
      <c r="X21" s="27"/>
    </row>
    <row r="22" ht="12.75" customHeight="1">
      <c r="A22" s="27" t="s">
        <v>83</v>
      </c>
      <c r="B22" s="27" t="s">
        <v>69</v>
      </c>
      <c r="C22" s="1588" t="s">
        <v>80</v>
      </c>
      <c r="D22" s="1585" t="s">
        <v>81</v>
      </c>
      <c r="E22" s="1586" t="s">
        <v>82</v>
      </c>
      <c r="F22" s="1587" t="n">
        <f>MOD(E22-D22,1)</f>
        <v>0.3333333333333333</v>
      </c>
      <c r="G22" s="27"/>
      <c r="H22" s="27"/>
      <c r="I22" s="27"/>
      <c r="J22" s="27"/>
      <c r="K22" s="27"/>
      <c r="L22" s="28"/>
      <c r="M22" s="28"/>
      <c r="N22" s="28"/>
      <c r="O22" s="28"/>
      <c r="P22" s="28"/>
      <c r="Q22" s="28"/>
      <c r="R22" s="28"/>
      <c r="S22" s="28"/>
      <c r="T22" s="28"/>
      <c r="U22" s="27"/>
      <c r="V22" s="27"/>
      <c r="W22" s="27"/>
      <c r="X22" s="27"/>
    </row>
    <row r="23" ht="12.75" customHeight="1">
      <c r="A23" s="27" t="s">
        <v>84</v>
      </c>
      <c r="B23" s="27" t="s">
        <v>71</v>
      </c>
      <c r="C23" s="1592" t="s">
        <v>80</v>
      </c>
      <c r="D23" s="1589" t="s">
        <v>81</v>
      </c>
      <c r="E23" s="1590" t="s">
        <v>82</v>
      </c>
      <c r="F23" s="1591" t="n">
        <f>MOD(E23-D23,1)</f>
        <v>0.3333333333333333</v>
      </c>
      <c r="G23" s="27"/>
      <c r="H23" s="27"/>
      <c r="I23" s="27"/>
      <c r="J23" s="27"/>
      <c r="K23" s="27"/>
      <c r="L23" s="28"/>
      <c r="M23" s="28"/>
      <c r="N23" s="28"/>
      <c r="O23" s="28"/>
      <c r="P23" s="28"/>
      <c r="Q23" s="28"/>
      <c r="R23" s="28"/>
      <c r="S23" s="28"/>
      <c r="T23" s="28"/>
      <c r="U23" s="27"/>
      <c r="V23" s="27"/>
      <c r="W23" s="27"/>
      <c r="X23" s="27"/>
    </row>
    <row r="24" ht="12.75" customHeight="1">
      <c r="A24" s="27" t="s">
        <v>85</v>
      </c>
      <c r="B24" s="27" t="s">
        <v>73</v>
      </c>
      <c r="C24" s="1596" t="s">
        <v>80</v>
      </c>
      <c r="D24" s="1593" t="s">
        <v>81</v>
      </c>
      <c r="E24" s="1594" t="s">
        <v>82</v>
      </c>
      <c r="F24" s="1595" t="n">
        <f>MOD(E24-D24,1)</f>
        <v>0.3333333333333333</v>
      </c>
      <c r="G24" s="27"/>
      <c r="H24" s="27"/>
      <c r="I24" s="27"/>
      <c r="J24" s="27"/>
      <c r="K24" s="27"/>
      <c r="L24" s="28"/>
      <c r="M24" s="28"/>
      <c r="N24" s="28"/>
      <c r="O24" s="28"/>
      <c r="P24" s="28"/>
      <c r="Q24" s="28"/>
      <c r="R24" s="28"/>
      <c r="S24" s="28"/>
      <c r="T24" s="28"/>
      <c r="U24" s="27"/>
      <c r="V24" s="27"/>
      <c r="W24" s="27"/>
      <c r="X24" s="27"/>
    </row>
    <row r="25" ht="12.75" customHeight="1">
      <c r="A25" s="27" t="s">
        <v>86</v>
      </c>
      <c r="B25" s="27" t="s">
        <v>57</v>
      </c>
      <c r="C25" s="1600" t="s">
        <v>80</v>
      </c>
      <c r="D25" s="1597" t="s">
        <v>81</v>
      </c>
      <c r="E25" s="1598" t="s">
        <v>82</v>
      </c>
      <c r="F25" s="1599" t="n">
        <f>MOD(E25-D25,1)</f>
        <v>0.3333333333333333</v>
      </c>
      <c r="G25" s="27"/>
      <c r="H25" s="27"/>
      <c r="I25" s="27"/>
      <c r="J25" s="27"/>
      <c r="K25" s="27"/>
      <c r="L25" s="28"/>
      <c r="M25" s="28"/>
      <c r="N25" s="28"/>
      <c r="O25" s="28"/>
      <c r="P25" s="28"/>
      <c r="Q25" s="28"/>
      <c r="R25" s="28"/>
      <c r="S25" s="28"/>
      <c r="T25" s="28"/>
      <c r="U25" s="27"/>
      <c r="V25" s="27"/>
      <c r="W25" s="27"/>
      <c r="X25" s="27"/>
    </row>
    <row r="26" ht="12.75" customHeight="1">
      <c r="A26" s="27" t="s">
        <v>87</v>
      </c>
      <c r="B26" s="27" t="s">
        <v>60</v>
      </c>
      <c r="C26" s="1604" t="s">
        <v>80</v>
      </c>
      <c r="D26" s="1601" t="s">
        <v>81</v>
      </c>
      <c r="E26" s="1602" t="s">
        <v>82</v>
      </c>
      <c r="F26" s="1603" t="n">
        <f>MOD(E26-D26,1)</f>
        <v>0.3333333333333333</v>
      </c>
      <c r="G26" s="27"/>
      <c r="H26" s="27"/>
      <c r="I26" s="27"/>
      <c r="J26" s="27"/>
      <c r="K26" s="27"/>
      <c r="L26" s="28"/>
      <c r="M26" s="28"/>
      <c r="N26" s="28"/>
      <c r="O26" s="28"/>
      <c r="P26" s="28"/>
      <c r="Q26" s="28"/>
      <c r="R26" s="28"/>
      <c r="S26" s="28"/>
      <c r="T26" s="28"/>
      <c r="U26" s="27"/>
      <c r="V26" s="27"/>
      <c r="W26" s="27"/>
      <c r="X26" s="27"/>
    </row>
    <row r="27" ht="12.75" customHeight="1">
      <c r="A27" s="27" t="s">
        <v>88</v>
      </c>
      <c r="B27" s="27" t="s">
        <v>63</v>
      </c>
      <c r="C27" s="1608" t="s">
        <v>64</v>
      </c>
      <c r="D27" s="1605"/>
      <c r="E27" s="1606"/>
      <c r="F27" s="1607"/>
      <c r="G27" s="27"/>
      <c r="H27" s="27"/>
      <c r="I27" s="27"/>
      <c r="J27" s="27"/>
      <c r="K27" s="27"/>
      <c r="L27" s="28"/>
      <c r="M27" s="28"/>
      <c r="N27" s="28"/>
      <c r="O27" s="28"/>
      <c r="P27" s="28"/>
      <c r="Q27" s="28"/>
      <c r="R27" s="28"/>
      <c r="S27" s="28"/>
      <c r="T27" s="28"/>
      <c r="U27" s="27"/>
      <c r="V27" s="27"/>
      <c r="W27" s="27"/>
      <c r="X27" s="27"/>
    </row>
    <row r="28" ht="12.75" customHeight="1">
      <c r="A28" s="27" t="s">
        <v>89</v>
      </c>
      <c r="B28" s="27" t="s">
        <v>66</v>
      </c>
      <c r="C28" s="1612" t="s">
        <v>67</v>
      </c>
      <c r="D28" s="1609"/>
      <c r="E28" s="1610"/>
      <c r="F28" s="1611"/>
      <c r="G28" s="27"/>
      <c r="H28" s="27"/>
      <c r="I28" s="27"/>
      <c r="J28" s="27"/>
      <c r="K28" s="27"/>
      <c r="L28" s="28"/>
      <c r="M28" s="28"/>
      <c r="N28" s="28"/>
      <c r="O28" s="28"/>
      <c r="P28" s="28"/>
      <c r="Q28" s="28"/>
      <c r="R28" s="28"/>
      <c r="S28" s="28"/>
      <c r="T28" s="28"/>
      <c r="U28" s="27"/>
      <c r="V28" s="27"/>
      <c r="W28" s="27"/>
      <c r="X28" s="27"/>
    </row>
    <row r="29" ht="12.75" customHeight="1">
      <c r="A29" s="27" t="s">
        <v>90</v>
      </c>
      <c r="B29" s="27" t="s">
        <v>69</v>
      </c>
      <c r="C29" s="1616" t="s">
        <v>80</v>
      </c>
      <c r="D29" s="1613" t="s">
        <v>81</v>
      </c>
      <c r="E29" s="1614" t="s">
        <v>82</v>
      </c>
      <c r="F29" s="1615" t="n">
        <f>MOD(E29-D29,1)</f>
        <v>0.3333333333333333</v>
      </c>
      <c r="G29" s="27"/>
      <c r="H29" s="27"/>
      <c r="I29" s="27"/>
      <c r="J29" s="27"/>
      <c r="K29" s="27"/>
      <c r="L29" s="28"/>
      <c r="M29" s="28"/>
      <c r="N29" s="28"/>
      <c r="O29" s="28"/>
      <c r="P29" s="28"/>
      <c r="Q29" s="28"/>
      <c r="R29" s="28"/>
      <c r="S29" s="28"/>
      <c r="T29" s="28"/>
      <c r="U29" s="27"/>
      <c r="V29" s="27"/>
      <c r="W29" s="27"/>
      <c r="X29" s="27"/>
    </row>
    <row r="30" ht="12.75" customHeight="1">
      <c r="A30" s="27" t="s">
        <v>91</v>
      </c>
      <c r="B30" s="27" t="s">
        <v>71</v>
      </c>
      <c r="C30" s="1620" t="s">
        <v>80</v>
      </c>
      <c r="D30" s="1617" t="s">
        <v>81</v>
      </c>
      <c r="E30" s="1618" t="s">
        <v>82</v>
      </c>
      <c r="F30" s="1619" t="n">
        <f>MOD(E30-D30,1)</f>
        <v>0.3333333333333333</v>
      </c>
      <c r="G30" s="27"/>
      <c r="H30" s="27"/>
      <c r="I30" s="27"/>
      <c r="J30" s="27"/>
      <c r="K30" s="27"/>
      <c r="L30" s="28"/>
      <c r="M30" s="28"/>
      <c r="N30" s="28"/>
      <c r="O30" s="28"/>
      <c r="P30" s="28"/>
      <c r="Q30" s="28"/>
      <c r="R30" s="28"/>
      <c r="S30" s="28"/>
      <c r="T30" s="28"/>
      <c r="U30" s="27"/>
      <c r="V30" s="27"/>
      <c r="W30" s="27"/>
      <c r="X30" s="27"/>
    </row>
    <row r="31" ht="12.75" customHeight="1">
      <c r="A31" s="27" t="s">
        <v>92</v>
      </c>
      <c r="B31" s="27" t="s">
        <v>73</v>
      </c>
      <c r="C31" s="1624" t="s">
        <v>80</v>
      </c>
      <c r="D31" s="1621" t="s">
        <v>81</v>
      </c>
      <c r="E31" s="1622" t="s">
        <v>82</v>
      </c>
      <c r="F31" s="1623" t="n">
        <f>MOD(E31-D31,1)</f>
        <v>0.3333333333333333</v>
      </c>
      <c r="G31" s="27"/>
      <c r="H31" s="27"/>
      <c r="I31" s="27"/>
      <c r="J31" s="27"/>
      <c r="K31" s="27"/>
      <c r="L31" s="28"/>
      <c r="M31" s="28"/>
      <c r="N31" s="28"/>
      <c r="O31" s="28"/>
      <c r="P31" s="28"/>
      <c r="Q31" s="28"/>
      <c r="R31" s="28"/>
      <c r="S31" s="28"/>
      <c r="T31" s="28"/>
      <c r="U31" s="27"/>
      <c r="V31" s="27"/>
      <c r="W31" s="27"/>
      <c r="X31" s="27"/>
    </row>
    <row r="32" ht="12.75" customHeight="1">
      <c r="A32" s="27" t="s">
        <v>93</v>
      </c>
      <c r="B32" s="27" t="s">
        <v>57</v>
      </c>
      <c r="C32" s="1628" t="s">
        <v>58</v>
      </c>
      <c r="D32" s="1625"/>
      <c r="E32" s="1626"/>
      <c r="F32" s="1627" t="n">
        <f>MOD(E32-D32,1)</f>
        <v>0.0</v>
      </c>
      <c r="G32" s="27"/>
      <c r="H32" s="27"/>
      <c r="I32" s="27"/>
      <c r="J32" s="27"/>
      <c r="K32" s="27"/>
      <c r="L32" s="28"/>
      <c r="M32" s="28"/>
      <c r="N32" s="28"/>
      <c r="O32" s="28"/>
      <c r="P32" s="28"/>
      <c r="Q32" s="28"/>
      <c r="R32" s="28"/>
      <c r="S32" s="28"/>
      <c r="T32" s="28"/>
      <c r="U32" s="27"/>
      <c r="V32" s="27"/>
      <c r="W32" s="27"/>
      <c r="X32" s="27"/>
    </row>
    <row r="33" ht="12.75" customHeight="1">
      <c r="A33" s="27" t="s">
        <v>94</v>
      </c>
      <c r="B33" s="27" t="s">
        <v>60</v>
      </c>
      <c r="C33" s="1632" t="s">
        <v>58</v>
      </c>
      <c r="D33" s="1629"/>
      <c r="E33" s="1630"/>
      <c r="F33" s="1631" t="n">
        <f>MOD(E33-D33,1)</f>
        <v>0.0</v>
      </c>
      <c r="G33" s="27"/>
      <c r="H33" s="27"/>
      <c r="I33" s="27"/>
      <c r="J33" s="27"/>
      <c r="K33" s="27"/>
      <c r="L33" s="28"/>
      <c r="M33" s="28"/>
      <c r="N33" s="28"/>
      <c r="O33" s="28"/>
      <c r="P33" s="28"/>
      <c r="Q33" s="28"/>
      <c r="R33" s="28"/>
      <c r="S33" s="28"/>
      <c r="T33" s="28"/>
      <c r="U33" s="27"/>
      <c r="V33" s="27"/>
      <c r="W33" s="27"/>
      <c r="X33" s="27"/>
    </row>
    <row r="34" ht="12.75" customHeight="1">
      <c r="A34" s="27" t="s">
        <v>95</v>
      </c>
      <c r="B34" s="27" t="s">
        <v>63</v>
      </c>
      <c r="C34" s="1636" t="s">
        <v>58</v>
      </c>
      <c r="D34" s="1633"/>
      <c r="E34" s="1634"/>
      <c r="F34" s="1635" t="n">
        <f>MOD(E34-D34,1)</f>
        <v>0.0</v>
      </c>
      <c r="G34" s="27"/>
      <c r="H34" s="27"/>
      <c r="I34" s="27"/>
      <c r="J34" s="27"/>
      <c r="K34" s="27"/>
      <c r="L34" s="28"/>
      <c r="M34" s="28"/>
      <c r="N34" s="28"/>
      <c r="O34" s="28"/>
      <c r="P34" s="28"/>
      <c r="Q34" s="28"/>
      <c r="R34" s="28"/>
      <c r="S34" s="28"/>
      <c r="T34" s="28"/>
      <c r="U34" s="27"/>
      <c r="V34" s="27"/>
      <c r="W34" s="27"/>
      <c r="X34" s="27"/>
    </row>
    <row r="35" ht="12.75" customHeight="1">
      <c r="A35" s="27" t="s">
        <v>96</v>
      </c>
      <c r="B35" s="27" t="s">
        <v>66</v>
      </c>
      <c r="C35" s="1640" t="s">
        <v>67</v>
      </c>
      <c r="D35" s="1637"/>
      <c r="E35" s="1638"/>
      <c r="F35" s="1639"/>
      <c r="G35" s="27"/>
      <c r="H35" s="27"/>
      <c r="I35" s="27"/>
      <c r="J35" s="27"/>
      <c r="K35" s="27"/>
      <c r="L35" s="28"/>
      <c r="M35" s="28"/>
      <c r="N35" s="28"/>
      <c r="O35" s="28"/>
      <c r="P35" s="28"/>
      <c r="Q35" s="28"/>
      <c r="R35" s="28"/>
      <c r="S35" s="28"/>
      <c r="T35" s="28"/>
      <c r="U35" s="27"/>
      <c r="V35" s="27"/>
      <c r="W35" s="27"/>
      <c r="X35" s="27"/>
    </row>
    <row r="36" ht="12.75" customHeight="1">
      <c r="A36" s="27" t="s">
        <v>97</v>
      </c>
      <c r="B36" s="27" t="s">
        <v>69</v>
      </c>
      <c r="C36" s="1644" t="s">
        <v>80</v>
      </c>
      <c r="D36" s="1641" t="s">
        <v>81</v>
      </c>
      <c r="E36" s="1642" t="s">
        <v>82</v>
      </c>
      <c r="F36" s="1643" t="n">
        <f>MOD(E36-D36,1)</f>
        <v>0.3333333333333333</v>
      </c>
      <c r="G36" s="27"/>
      <c r="H36" s="27"/>
      <c r="I36" s="27"/>
      <c r="J36" s="27"/>
      <c r="K36" s="27"/>
      <c r="L36" s="28"/>
      <c r="M36" s="28"/>
      <c r="N36" s="28"/>
      <c r="O36" s="28"/>
      <c r="P36" s="28"/>
      <c r="Q36" s="28"/>
      <c r="R36" s="28"/>
      <c r="S36" s="28"/>
      <c r="T36" s="28"/>
      <c r="U36" s="27"/>
      <c r="V36" s="27"/>
      <c r="W36" s="27"/>
      <c r="X36" s="27"/>
    </row>
    <row r="37" ht="12.75" customHeight="1">
      <c r="A37" s="27" t="s">
        <v>98</v>
      </c>
      <c r="B37" s="27" t="s">
        <v>71</v>
      </c>
      <c r="C37" s="1648" t="s">
        <v>80</v>
      </c>
      <c r="D37" s="1645" t="s">
        <v>81</v>
      </c>
      <c r="E37" s="1646" t="s">
        <v>82</v>
      </c>
      <c r="F37" s="1647" t="n">
        <f>MOD(E37-D37,1)</f>
        <v>0.3333333333333333</v>
      </c>
      <c r="G37" s="27"/>
      <c r="H37" s="27"/>
      <c r="I37" s="27"/>
      <c r="J37" s="27"/>
      <c r="K37" s="27"/>
      <c r="L37" s="28"/>
      <c r="M37" s="28"/>
      <c r="N37" s="28"/>
      <c r="O37" s="28"/>
      <c r="P37" s="28"/>
      <c r="Q37" s="28"/>
      <c r="R37" s="28"/>
      <c r="S37" s="28"/>
      <c r="T37" s="28"/>
      <c r="U37" s="27"/>
      <c r="V37" s="27"/>
      <c r="W37" s="27"/>
      <c r="X37" s="27"/>
    </row>
    <row r="38" ht="12.75" customHeight="1">
      <c r="A38" s="27" t="s">
        <v>99</v>
      </c>
      <c r="B38" s="27" t="s">
        <v>73</v>
      </c>
      <c r="C38" s="1652" t="s">
        <v>80</v>
      </c>
      <c r="D38" s="1649" t="s">
        <v>81</v>
      </c>
      <c r="E38" s="1650" t="s">
        <v>82</v>
      </c>
      <c r="F38" s="1651" t="n">
        <f>MOD(E38-D38,1)</f>
        <v>0.3333333333333333</v>
      </c>
      <c r="G38" s="27"/>
      <c r="H38" s="27"/>
      <c r="I38" s="27"/>
      <c r="J38" s="27"/>
      <c r="K38" s="27"/>
      <c r="L38" s="28"/>
      <c r="M38" s="28"/>
      <c r="N38" s="28"/>
      <c r="O38" s="28"/>
      <c r="P38" s="28"/>
      <c r="Q38" s="28"/>
      <c r="R38" s="28"/>
      <c r="S38" s="28"/>
      <c r="T38" s="28"/>
      <c r="U38" s="27"/>
      <c r="V38" s="27"/>
      <c r="W38" s="27"/>
      <c r="X38" s="27"/>
    </row>
    <row r="39" ht="12.75" customHeight="1">
      <c r="A39" s="31" t="s">
        <v>100</v>
      </c>
      <c r="B39" s="27" t="s">
        <v>57</v>
      </c>
      <c r="C39" s="1656" t="s">
        <v>80</v>
      </c>
      <c r="D39" s="1653" t="s">
        <v>81</v>
      </c>
      <c r="E39" s="1654" t="s">
        <v>82</v>
      </c>
      <c r="F39" s="1655" t="n">
        <f>MOD(E39-D39,1)</f>
        <v>0.3333333333333333</v>
      </c>
      <c r="G39" s="31"/>
      <c r="H39" s="31"/>
      <c r="I39" s="31"/>
      <c r="J39" s="31"/>
      <c r="K39" s="31"/>
      <c r="L39" s="28"/>
      <c r="M39" s="28"/>
      <c r="N39" s="28"/>
      <c r="O39" s="28"/>
      <c r="P39" s="28"/>
      <c r="Q39" s="28"/>
      <c r="R39" s="28"/>
      <c r="S39" s="28"/>
      <c r="T39" s="28"/>
      <c r="U39" s="31"/>
      <c r="V39" s="31"/>
      <c r="W39" s="31"/>
      <c r="X39" s="31"/>
    </row>
    <row r="40" ht="12.75" customHeight="1">
      <c r="A40" s="32" t="s">
        <v>30</v>
      </c>
      <c r="B40" s="33"/>
      <c r="C40" s="34"/>
      <c r="D40" s="35"/>
      <c r="E40" s="35"/>
      <c r="F40" s="1658" t="n">
        <f>SUM(F9:F39)</f>
        <v>6.999999999999997</v>
      </c>
      <c r="G40" s="35"/>
      <c r="H40" s="35"/>
      <c r="I40" s="35"/>
      <c r="J40" s="35"/>
      <c r="K40" s="35"/>
      <c r="L40" s="1659" t="n">
        <f t="shared" ref="L40:T40" si="1">SUM(L9:L39)</f>
        <v>0.0</v>
      </c>
      <c r="M40" s="1660" t="n">
        <f t="shared" si="1">SUM(M9:M39)</f>
        <v>0.0</v>
      </c>
      <c r="N40" s="1661" t="n">
        <f t="shared" si="1">SUM(N9:N39)</f>
        <v>0.0</v>
      </c>
      <c r="O40" s="1662" t="n">
        <f t="shared" si="1">SUM(O9:O39)</f>
        <v>0.0</v>
      </c>
      <c r="P40" s="1663" t="n">
        <f t="shared" si="1">SUM(P9:P39)</f>
        <v>0.0</v>
      </c>
      <c r="Q40" s="1664" t="n">
        <f t="shared" si="1">SUM(Q9:Q39)</f>
        <v>0.0</v>
      </c>
      <c r="R40" s="1665" t="n">
        <f t="shared" si="1">SUM(R9:R39)</f>
        <v>0.0</v>
      </c>
      <c r="S40" s="1666" t="n">
        <f t="shared" si="1">SUM(S9:S39)</f>
        <v>0.0</v>
      </c>
      <c r="T40" s="1667" t="n">
        <f t="shared" si="1">SUM(T9:T39)</f>
        <v>0.0</v>
      </c>
      <c r="U40" s="35"/>
      <c r="V40" s="35"/>
      <c r="W40" s="35"/>
      <c r="X40" s="37"/>
      <c r="Y40" s="38"/>
    </row>
    <row r="41" ht="30.0" customHeight="1">
      <c r="A41" s="45" t="n">
        <f>-S26</f>
        <v>0.0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</row>
    <row r="42" ht="12.75" customHeight="1">
      <c r="A42" s="16" t="s">
        <v>11</v>
      </c>
      <c r="B42" s="41" t="s">
        <v>44</v>
      </c>
      <c r="J42" s="41" t="s">
        <v>33</v>
      </c>
      <c r="K42" s="41" t="s">
        <v>34</v>
      </c>
      <c r="M42" s="41" t="s">
        <v>14</v>
      </c>
      <c r="O42" s="16"/>
      <c r="P42" s="16"/>
      <c r="Q42" s="16"/>
      <c r="R42" s="16"/>
      <c r="S42" s="16"/>
      <c r="T42" s="16"/>
      <c r="U42" s="16"/>
      <c r="V42" s="16"/>
      <c r="W42" s="16"/>
      <c r="X42" s="16"/>
    </row>
    <row r="43" ht="12.75" customHeight="1">
      <c r="B43" t="s" s="1657">
        <v>103</v>
      </c>
      <c r="K43" s="41" t="s">
        <v>34</v>
      </c>
      <c r="M43" s="41" t="s">
        <v>14</v>
      </c>
    </row>
    <row r="44" ht="12.75" customHeight="1">
      <c r="B44" s="41" t="s">
        <v>36</v>
      </c>
      <c r="K44" s="41" t="s">
        <v>34</v>
      </c>
      <c r="L44" s="42"/>
      <c r="M44" s="41" t="s">
        <v>14</v>
      </c>
    </row>
    <row r="45" ht="12.75" customHeight="1">
      <c r="J45" s="41" t="s">
        <v>37</v>
      </c>
      <c r="K45" s="41" t="s">
        <v>34</v>
      </c>
      <c r="L45" s="42"/>
      <c r="M45" s="41" t="s">
        <v>14</v>
      </c>
    </row>
    <row r="46" ht="12.75" customHeight="1">
      <c r="A46" s="41" t="s">
        <v>11</v>
      </c>
      <c r="B46" s="41" t="s">
        <v>38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6">
    <mergeCell ref="A1:E2"/>
    <mergeCell ref="G1:T3"/>
    <mergeCell ref="U1:X1"/>
    <mergeCell ref="U2:X3"/>
    <mergeCell ref="A4:E4"/>
    <mergeCell ref="G4:T5"/>
    <mergeCell ref="U4:X5"/>
    <mergeCell ref="A40:C40"/>
    <mergeCell ref="A41:X41"/>
    <mergeCell ref="A5:C5"/>
    <mergeCell ref="D5:E5"/>
    <mergeCell ref="A7:C7"/>
    <mergeCell ref="D7:F7"/>
    <mergeCell ref="G7:K7"/>
    <mergeCell ref="L7:T7"/>
    <mergeCell ref="U7:X7"/>
  </mergeCells>
  <printOptions/>
  <pageMargins bottom="0.0" footer="0.0" header="0.0" left="0.0" right="0.0" top="0.0"/>
  <pageSetup paperSize="9" scale="8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min="1" max="26" customWidth="true" width="9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2005-12-22T10:43:00Z</dcterms:created>
  <dc:creator>Urszula Marzec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7841E292D5B94F2186683DBAD2493601_12</vt:lpwstr>
  </property>
  <property fmtid="{D5CDD505-2E9C-101B-9397-08002B2CF9AE}" pid="3" name="KSOProductBuildVer">
    <vt:lpwstr>1045-12.2.0.23155</vt:lpwstr>
  </property>
</Properties>
</file>